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16B61F4A-7221-4F07-B825-C48A5F7F69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s41" sheetId="1" r:id="rId1"/>
    <sheet name="Es42" sheetId="2" r:id="rId2"/>
    <sheet name="Es43" sheetId="3" r:id="rId3"/>
    <sheet name="Es44" sheetId="4" r:id="rId4"/>
    <sheet name="Es45" sheetId="5" r:id="rId5"/>
    <sheet name="Es46-47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6" l="1"/>
  <c r="C7" i="6"/>
  <c r="C8" i="6"/>
  <c r="C9" i="6"/>
  <c r="C5" i="6"/>
  <c r="B6" i="6"/>
  <c r="B7" i="6"/>
  <c r="B8" i="6"/>
  <c r="B9" i="6"/>
  <c r="B5" i="6"/>
  <c r="A7" i="6"/>
  <c r="A8" i="6"/>
  <c r="A9" i="6"/>
  <c r="A6" i="6"/>
  <c r="D15" i="5"/>
  <c r="D16" i="5"/>
  <c r="D17" i="5"/>
  <c r="D18" i="5"/>
  <c r="E14" i="4"/>
  <c r="D14" i="5"/>
  <c r="E7" i="5"/>
  <c r="E8" i="5"/>
  <c r="E9" i="5"/>
  <c r="E10" i="5"/>
  <c r="E11" i="5"/>
  <c r="E6" i="5"/>
  <c r="C10" i="5"/>
  <c r="C7" i="5"/>
  <c r="C6" i="5"/>
  <c r="C8" i="5"/>
  <c r="C9" i="5"/>
  <c r="C11" i="5"/>
  <c r="B6" i="5"/>
  <c r="A7" i="5"/>
  <c r="E13" i="4"/>
  <c r="E10" i="4"/>
  <c r="B10" i="4"/>
  <c r="A10" i="4"/>
  <c r="B5" i="4"/>
  <c r="E5" i="4"/>
  <c r="A6" i="4"/>
  <c r="B6" i="4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2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G2" i="1"/>
  <c r="F2" i="1"/>
  <c r="B7" i="5" l="1"/>
  <c r="A8" i="5"/>
  <c r="E6" i="4"/>
  <c r="A7" i="4"/>
  <c r="B7" i="4" s="1"/>
  <c r="B8" i="5" l="1"/>
  <c r="A9" i="5"/>
  <c r="E7" i="4"/>
  <c r="A8" i="4"/>
  <c r="B8" i="4" s="1"/>
  <c r="B9" i="5" l="1"/>
  <c r="A10" i="5"/>
  <c r="E8" i="4"/>
  <c r="A9" i="4"/>
  <c r="B9" i="4" s="1"/>
  <c r="B10" i="5" l="1"/>
  <c r="A11" i="5"/>
  <c r="B11" i="5" s="1"/>
  <c r="E9" i="4"/>
</calcChain>
</file>

<file path=xl/sharedStrings.xml><?xml version="1.0" encoding="utf-8"?>
<sst xmlns="http://schemas.openxmlformats.org/spreadsheetml/2006/main" count="40" uniqueCount="28">
  <si>
    <t>Offerta: p = 0,01q^2 + 10</t>
  </si>
  <si>
    <t>q</t>
  </si>
  <si>
    <t>Offerta</t>
  </si>
  <si>
    <t>Domanda</t>
  </si>
  <si>
    <t>Domanda: p = 90 - 4q</t>
  </si>
  <si>
    <t xml:space="preserve">Prezzo di equilibrio = </t>
  </si>
  <si>
    <t>Quantità di equilibrio =</t>
  </si>
  <si>
    <t>Richiesta</t>
  </si>
  <si>
    <t>Produzione</t>
  </si>
  <si>
    <t>Prezzo(euro)</t>
  </si>
  <si>
    <t>Offerta: p = 50+0,4q</t>
  </si>
  <si>
    <t>Domanda: p = 100 - 0,4q</t>
  </si>
  <si>
    <t>Abbassando l'Offerta --&gt; Prezzo di equilibrio si alza</t>
  </si>
  <si>
    <t>Abbassando la Domanda --&gt; Prezzo di equilibrio si abbassa</t>
  </si>
  <si>
    <t>R = p * q</t>
  </si>
  <si>
    <t xml:space="preserve">K = </t>
  </si>
  <si>
    <t>R</t>
  </si>
  <si>
    <t>C</t>
  </si>
  <si>
    <t>P</t>
  </si>
  <si>
    <t>Pmax</t>
  </si>
  <si>
    <t>q*</t>
  </si>
  <si>
    <t>R = 3q</t>
  </si>
  <si>
    <t>ca</t>
  </si>
  <si>
    <t>C = 10 + (3/200)*q^(5/2)</t>
  </si>
  <si>
    <t xml:space="preserve">Pmax= </t>
  </si>
  <si>
    <t>R = 4q</t>
  </si>
  <si>
    <t>C = 15 + (1/100)q^3</t>
  </si>
  <si>
    <t>Conviene aumentare la produzione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</si>
</sst>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'Es41'!$F$1</c:f>
              <c:strCache>
                <c:ptCount val="1"/>
                <c:pt idx="0">
                  <c:v>Offerta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'Es41'!$E$2:$E$22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'Es41'!$F$2:$F$22</c:f>
              <c:numCache>
                <c:formatCode>General</c:formatCode>
                <c:ptCount val="21"/>
                <c:pt idx="0">
                  <c:v>10</c:v>
                </c:pt>
                <c:pt idx="1">
                  <c:v>10.01</c:v>
                </c:pt>
                <c:pt idx="2">
                  <c:v>10.039999999999999</c:v>
                </c:pt>
                <c:pt idx="3">
                  <c:v>10.09</c:v>
                </c:pt>
                <c:pt idx="4">
                  <c:v>10.16</c:v>
                </c:pt>
                <c:pt idx="5">
                  <c:v>10.25</c:v>
                </c:pt>
                <c:pt idx="6">
                  <c:v>10.36</c:v>
                </c:pt>
                <c:pt idx="7">
                  <c:v>10.49</c:v>
                </c:pt>
                <c:pt idx="8">
                  <c:v>10.64</c:v>
                </c:pt>
                <c:pt idx="9">
                  <c:v>10.81</c:v>
                </c:pt>
                <c:pt idx="10">
                  <c:v>11</c:v>
                </c:pt>
                <c:pt idx="11">
                  <c:v>11.21</c:v>
                </c:pt>
                <c:pt idx="12">
                  <c:v>11.44</c:v>
                </c:pt>
                <c:pt idx="13">
                  <c:v>11.69</c:v>
                </c:pt>
                <c:pt idx="14">
                  <c:v>11.96</c:v>
                </c:pt>
                <c:pt idx="15">
                  <c:v>12.25</c:v>
                </c:pt>
                <c:pt idx="16">
                  <c:v>12.56</c:v>
                </c:pt>
                <c:pt idx="17">
                  <c:v>12.89</c:v>
                </c:pt>
                <c:pt idx="18">
                  <c:v>13.24</c:v>
                </c:pt>
                <c:pt idx="19">
                  <c:v>13.61</c:v>
                </c:pt>
                <c:pt idx="20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1-4A62-9E22-01FFCCE36461}"/>
            </c:ext>
          </c:extLst>
        </c:ser>
        <c:ser>
          <c:idx val="1"/>
          <c:order val="1"/>
          <c:tx>
            <c:strRef>
              <c:f>'Es41'!$G$1</c:f>
              <c:strCache>
                <c:ptCount val="1"/>
                <c:pt idx="0">
                  <c:v>Domanda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'Es41'!$E$2:$E$22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'Es41'!$G$2:$G$22</c:f>
              <c:numCache>
                <c:formatCode>General</c:formatCode>
                <c:ptCount val="21"/>
                <c:pt idx="0">
                  <c:v>90</c:v>
                </c:pt>
                <c:pt idx="1">
                  <c:v>86</c:v>
                </c:pt>
                <c:pt idx="2">
                  <c:v>82</c:v>
                </c:pt>
                <c:pt idx="3">
                  <c:v>78</c:v>
                </c:pt>
                <c:pt idx="4">
                  <c:v>74</c:v>
                </c:pt>
                <c:pt idx="5">
                  <c:v>70</c:v>
                </c:pt>
                <c:pt idx="6">
                  <c:v>66</c:v>
                </c:pt>
                <c:pt idx="7">
                  <c:v>62</c:v>
                </c:pt>
                <c:pt idx="8">
                  <c:v>58</c:v>
                </c:pt>
                <c:pt idx="9">
                  <c:v>54</c:v>
                </c:pt>
                <c:pt idx="10">
                  <c:v>50</c:v>
                </c:pt>
                <c:pt idx="11">
                  <c:v>46</c:v>
                </c:pt>
                <c:pt idx="12">
                  <c:v>42</c:v>
                </c:pt>
                <c:pt idx="13">
                  <c:v>38</c:v>
                </c:pt>
                <c:pt idx="14">
                  <c:v>34</c:v>
                </c:pt>
                <c:pt idx="15">
                  <c:v>30</c:v>
                </c:pt>
                <c:pt idx="16">
                  <c:v>26</c:v>
                </c:pt>
                <c:pt idx="17">
                  <c:v>22</c:v>
                </c:pt>
                <c:pt idx="18">
                  <c:v>18</c:v>
                </c:pt>
                <c:pt idx="19">
                  <c:v>14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E1-4A62-9E22-01FFCCE36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815944"/>
        <c:axId val="2123822088"/>
      </c:scatterChart>
      <c:valAx>
        <c:axId val="2123815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822088"/>
        <c:crosses val="autoZero"/>
        <c:crossBetween val="midCat"/>
        <c:majorUnit val="2"/>
      </c:valAx>
      <c:valAx>
        <c:axId val="2123822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81594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Domanda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'Es42'!$A$2:$A$8</c:f>
              <c:numCache>
                <c:formatCode>General</c:formatCode>
                <c:ptCount val="7"/>
                <c:pt idx="0">
                  <c:v>30000</c:v>
                </c:pt>
                <c:pt idx="1">
                  <c:v>20000</c:v>
                </c:pt>
                <c:pt idx="2">
                  <c:v>17000</c:v>
                </c:pt>
                <c:pt idx="3">
                  <c:v>12000</c:v>
                </c:pt>
                <c:pt idx="4">
                  <c:v>10000</c:v>
                </c:pt>
                <c:pt idx="5">
                  <c:v>8000</c:v>
                </c:pt>
                <c:pt idx="6">
                  <c:v>5000</c:v>
                </c:pt>
              </c:numCache>
            </c:numRef>
          </c:xVal>
          <c:yVal>
            <c:numRef>
              <c:f>'Es42'!$C$2:$C$8</c:f>
              <c:numCache>
                <c:formatCode>General</c:formatCode>
                <c:ptCount val="7"/>
                <c:pt idx="0">
                  <c:v>300</c:v>
                </c:pt>
                <c:pt idx="1">
                  <c:v>320</c:v>
                </c:pt>
                <c:pt idx="2">
                  <c:v>370</c:v>
                </c:pt>
                <c:pt idx="3">
                  <c:v>400</c:v>
                </c:pt>
                <c:pt idx="4">
                  <c:v>410</c:v>
                </c:pt>
                <c:pt idx="5">
                  <c:v>420</c:v>
                </c:pt>
                <c:pt idx="6">
                  <c:v>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F7-44CF-90AB-4B4E1006C2DF}"/>
            </c:ext>
          </c:extLst>
        </c:ser>
        <c:ser>
          <c:idx val="1"/>
          <c:order val="1"/>
          <c:tx>
            <c:v>Offerta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'Es42'!B2:B8</c:f>
              <c:numCache>
                <c:formatCode>General</c:formatCode>
                <c:ptCount val="7"/>
                <c:pt idx="0">
                  <c:v>5000</c:v>
                </c:pt>
                <c:pt idx="1">
                  <c:v>8000</c:v>
                </c:pt>
                <c:pt idx="2">
                  <c:v>9000</c:v>
                </c:pt>
                <c:pt idx="3">
                  <c:v>10000</c:v>
                </c:pt>
                <c:pt idx="4">
                  <c:v>11000</c:v>
                </c:pt>
                <c:pt idx="5">
                  <c:v>12000</c:v>
                </c:pt>
                <c:pt idx="6">
                  <c:v>13000</c:v>
                </c:pt>
              </c:numCache>
            </c:numRef>
          </c:xVal>
          <c:yVal>
            <c:numRef>
              <c:f>'Es42'!C2:C8</c:f>
              <c:numCache>
                <c:formatCode>General</c:formatCode>
                <c:ptCount val="7"/>
                <c:pt idx="0">
                  <c:v>300</c:v>
                </c:pt>
                <c:pt idx="1">
                  <c:v>320</c:v>
                </c:pt>
                <c:pt idx="2">
                  <c:v>370</c:v>
                </c:pt>
                <c:pt idx="3">
                  <c:v>400</c:v>
                </c:pt>
                <c:pt idx="4">
                  <c:v>410</c:v>
                </c:pt>
                <c:pt idx="5">
                  <c:v>420</c:v>
                </c:pt>
                <c:pt idx="6">
                  <c:v>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F7-44CF-90AB-4B4E1006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764872"/>
        <c:axId val="1905766920"/>
      </c:scatterChart>
      <c:valAx>
        <c:axId val="190576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66920"/>
        <c:crosses val="autoZero"/>
        <c:crossBetween val="midCat"/>
      </c:valAx>
      <c:valAx>
        <c:axId val="190576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64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'Es43'!$F$1</c:f>
              <c:strCache>
                <c:ptCount val="1"/>
                <c:pt idx="0">
                  <c:v>Offerta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'Es43'!$E$2:$E$120</c:f>
              <c:numCache>
                <c:formatCode>General</c:formatCode>
                <c:ptCount val="1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</c:numCache>
            </c:numRef>
          </c:xVal>
          <c:yVal>
            <c:numRef>
              <c:f>'Es43'!$F$2:$F$120</c:f>
              <c:numCache>
                <c:formatCode>General</c:formatCode>
                <c:ptCount val="119"/>
                <c:pt idx="0">
                  <c:v>20</c:v>
                </c:pt>
                <c:pt idx="1">
                  <c:v>20.399999999999999</c:v>
                </c:pt>
                <c:pt idx="2">
                  <c:v>20.8</c:v>
                </c:pt>
                <c:pt idx="3">
                  <c:v>21.2</c:v>
                </c:pt>
                <c:pt idx="4">
                  <c:v>21.6</c:v>
                </c:pt>
                <c:pt idx="5">
                  <c:v>22</c:v>
                </c:pt>
                <c:pt idx="6">
                  <c:v>22.4</c:v>
                </c:pt>
                <c:pt idx="7">
                  <c:v>22.8</c:v>
                </c:pt>
                <c:pt idx="8">
                  <c:v>23.2</c:v>
                </c:pt>
                <c:pt idx="9">
                  <c:v>23.6</c:v>
                </c:pt>
                <c:pt idx="10">
                  <c:v>24</c:v>
                </c:pt>
                <c:pt idx="11">
                  <c:v>24.4</c:v>
                </c:pt>
                <c:pt idx="12">
                  <c:v>24.8</c:v>
                </c:pt>
                <c:pt idx="13">
                  <c:v>25.2</c:v>
                </c:pt>
                <c:pt idx="14">
                  <c:v>25.6</c:v>
                </c:pt>
                <c:pt idx="15">
                  <c:v>26</c:v>
                </c:pt>
                <c:pt idx="16">
                  <c:v>26.4</c:v>
                </c:pt>
                <c:pt idx="17">
                  <c:v>26.8</c:v>
                </c:pt>
                <c:pt idx="18">
                  <c:v>27.2</c:v>
                </c:pt>
                <c:pt idx="19">
                  <c:v>27.6</c:v>
                </c:pt>
                <c:pt idx="20">
                  <c:v>28</c:v>
                </c:pt>
                <c:pt idx="21">
                  <c:v>28.4</c:v>
                </c:pt>
                <c:pt idx="22">
                  <c:v>28.8</c:v>
                </c:pt>
                <c:pt idx="23">
                  <c:v>29.200000000000003</c:v>
                </c:pt>
                <c:pt idx="24">
                  <c:v>29.6</c:v>
                </c:pt>
                <c:pt idx="25">
                  <c:v>30</c:v>
                </c:pt>
                <c:pt idx="26">
                  <c:v>30.4</c:v>
                </c:pt>
                <c:pt idx="27">
                  <c:v>30.8</c:v>
                </c:pt>
                <c:pt idx="28">
                  <c:v>31.200000000000003</c:v>
                </c:pt>
                <c:pt idx="29">
                  <c:v>31.6</c:v>
                </c:pt>
                <c:pt idx="30">
                  <c:v>32</c:v>
                </c:pt>
                <c:pt idx="31">
                  <c:v>32.4</c:v>
                </c:pt>
                <c:pt idx="32">
                  <c:v>32.799999999999997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34</c:v>
                </c:pt>
                <c:pt idx="36">
                  <c:v>34.4</c:v>
                </c:pt>
                <c:pt idx="37">
                  <c:v>34.799999999999997</c:v>
                </c:pt>
                <c:pt idx="38">
                  <c:v>35.200000000000003</c:v>
                </c:pt>
                <c:pt idx="39">
                  <c:v>35.6</c:v>
                </c:pt>
                <c:pt idx="40">
                  <c:v>36</c:v>
                </c:pt>
                <c:pt idx="41">
                  <c:v>36.400000000000006</c:v>
                </c:pt>
                <c:pt idx="42">
                  <c:v>36.799999999999997</c:v>
                </c:pt>
                <c:pt idx="43">
                  <c:v>37.200000000000003</c:v>
                </c:pt>
                <c:pt idx="44">
                  <c:v>37.6</c:v>
                </c:pt>
                <c:pt idx="45">
                  <c:v>38</c:v>
                </c:pt>
                <c:pt idx="46">
                  <c:v>38.400000000000006</c:v>
                </c:pt>
                <c:pt idx="47">
                  <c:v>38.799999999999997</c:v>
                </c:pt>
                <c:pt idx="48">
                  <c:v>39.200000000000003</c:v>
                </c:pt>
                <c:pt idx="49">
                  <c:v>39.6</c:v>
                </c:pt>
                <c:pt idx="50">
                  <c:v>40</c:v>
                </c:pt>
                <c:pt idx="51">
                  <c:v>40.400000000000006</c:v>
                </c:pt>
                <c:pt idx="52">
                  <c:v>40.799999999999997</c:v>
                </c:pt>
                <c:pt idx="53">
                  <c:v>41.2</c:v>
                </c:pt>
                <c:pt idx="54">
                  <c:v>41.6</c:v>
                </c:pt>
                <c:pt idx="55">
                  <c:v>42</c:v>
                </c:pt>
                <c:pt idx="56">
                  <c:v>42.400000000000006</c:v>
                </c:pt>
                <c:pt idx="57">
                  <c:v>42.8</c:v>
                </c:pt>
                <c:pt idx="58">
                  <c:v>43.2</c:v>
                </c:pt>
                <c:pt idx="59">
                  <c:v>43.6</c:v>
                </c:pt>
                <c:pt idx="60">
                  <c:v>44</c:v>
                </c:pt>
                <c:pt idx="61">
                  <c:v>44.400000000000006</c:v>
                </c:pt>
                <c:pt idx="62">
                  <c:v>44.8</c:v>
                </c:pt>
                <c:pt idx="63">
                  <c:v>45.2</c:v>
                </c:pt>
                <c:pt idx="64">
                  <c:v>45.6</c:v>
                </c:pt>
                <c:pt idx="65">
                  <c:v>46</c:v>
                </c:pt>
                <c:pt idx="66">
                  <c:v>46.400000000000006</c:v>
                </c:pt>
                <c:pt idx="67">
                  <c:v>46.8</c:v>
                </c:pt>
                <c:pt idx="68">
                  <c:v>47.2</c:v>
                </c:pt>
                <c:pt idx="69">
                  <c:v>47.6</c:v>
                </c:pt>
                <c:pt idx="70">
                  <c:v>48</c:v>
                </c:pt>
                <c:pt idx="71">
                  <c:v>48.400000000000006</c:v>
                </c:pt>
                <c:pt idx="72">
                  <c:v>48.8</c:v>
                </c:pt>
                <c:pt idx="73">
                  <c:v>49.2</c:v>
                </c:pt>
                <c:pt idx="74">
                  <c:v>49.6</c:v>
                </c:pt>
                <c:pt idx="75">
                  <c:v>50</c:v>
                </c:pt>
                <c:pt idx="76">
                  <c:v>50.400000000000006</c:v>
                </c:pt>
                <c:pt idx="77">
                  <c:v>50.8</c:v>
                </c:pt>
                <c:pt idx="78">
                  <c:v>51.2</c:v>
                </c:pt>
                <c:pt idx="79">
                  <c:v>51.6</c:v>
                </c:pt>
                <c:pt idx="80">
                  <c:v>52</c:v>
                </c:pt>
                <c:pt idx="81">
                  <c:v>52.4</c:v>
                </c:pt>
                <c:pt idx="82">
                  <c:v>52.800000000000004</c:v>
                </c:pt>
                <c:pt idx="83">
                  <c:v>53.2</c:v>
                </c:pt>
                <c:pt idx="84">
                  <c:v>53.6</c:v>
                </c:pt>
                <c:pt idx="85">
                  <c:v>54</c:v>
                </c:pt>
                <c:pt idx="86">
                  <c:v>54.4</c:v>
                </c:pt>
                <c:pt idx="87">
                  <c:v>54.800000000000004</c:v>
                </c:pt>
                <c:pt idx="88">
                  <c:v>55.2</c:v>
                </c:pt>
                <c:pt idx="89">
                  <c:v>55.6</c:v>
                </c:pt>
                <c:pt idx="90">
                  <c:v>56</c:v>
                </c:pt>
                <c:pt idx="91">
                  <c:v>56.4</c:v>
                </c:pt>
                <c:pt idx="92">
                  <c:v>56.800000000000004</c:v>
                </c:pt>
                <c:pt idx="93">
                  <c:v>57.2</c:v>
                </c:pt>
                <c:pt idx="94">
                  <c:v>57.6</c:v>
                </c:pt>
                <c:pt idx="95">
                  <c:v>58</c:v>
                </c:pt>
                <c:pt idx="96">
                  <c:v>58.400000000000006</c:v>
                </c:pt>
                <c:pt idx="97">
                  <c:v>58.800000000000004</c:v>
                </c:pt>
                <c:pt idx="98">
                  <c:v>59.2</c:v>
                </c:pt>
                <c:pt idx="99">
                  <c:v>59.6</c:v>
                </c:pt>
                <c:pt idx="100">
                  <c:v>60</c:v>
                </c:pt>
                <c:pt idx="101">
                  <c:v>60.400000000000006</c:v>
                </c:pt>
                <c:pt idx="102">
                  <c:v>60.800000000000004</c:v>
                </c:pt>
                <c:pt idx="103">
                  <c:v>61.2</c:v>
                </c:pt>
                <c:pt idx="104">
                  <c:v>61.6</c:v>
                </c:pt>
                <c:pt idx="105">
                  <c:v>62</c:v>
                </c:pt>
                <c:pt idx="106">
                  <c:v>62.400000000000006</c:v>
                </c:pt>
                <c:pt idx="107">
                  <c:v>62.800000000000004</c:v>
                </c:pt>
                <c:pt idx="108">
                  <c:v>63.2</c:v>
                </c:pt>
                <c:pt idx="109">
                  <c:v>63.6</c:v>
                </c:pt>
                <c:pt idx="110">
                  <c:v>64</c:v>
                </c:pt>
                <c:pt idx="111">
                  <c:v>64.400000000000006</c:v>
                </c:pt>
                <c:pt idx="112">
                  <c:v>64.800000000000011</c:v>
                </c:pt>
                <c:pt idx="113">
                  <c:v>65.2</c:v>
                </c:pt>
                <c:pt idx="114">
                  <c:v>65.599999999999994</c:v>
                </c:pt>
                <c:pt idx="115">
                  <c:v>66</c:v>
                </c:pt>
                <c:pt idx="116">
                  <c:v>66.400000000000006</c:v>
                </c:pt>
                <c:pt idx="117">
                  <c:v>66.800000000000011</c:v>
                </c:pt>
                <c:pt idx="118">
                  <c:v>67.2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34-46E0-91D6-ED648E0B62F7}"/>
            </c:ext>
          </c:extLst>
        </c:ser>
        <c:ser>
          <c:idx val="1"/>
          <c:order val="1"/>
          <c:tx>
            <c:strRef>
              <c:f>'Es43'!$G$1</c:f>
              <c:strCache>
                <c:ptCount val="1"/>
                <c:pt idx="0">
                  <c:v>Domanda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'Es43'!$E$2:$E$120</c:f>
              <c:numCache>
                <c:formatCode>General</c:formatCode>
                <c:ptCount val="1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</c:numCache>
            </c:numRef>
          </c:xVal>
          <c:yVal>
            <c:numRef>
              <c:f>'Es43'!$G$2:$G$120</c:f>
              <c:numCache>
                <c:formatCode>General</c:formatCode>
                <c:ptCount val="119"/>
                <c:pt idx="0">
                  <c:v>92</c:v>
                </c:pt>
                <c:pt idx="1">
                  <c:v>91.6</c:v>
                </c:pt>
                <c:pt idx="2">
                  <c:v>91.2</c:v>
                </c:pt>
                <c:pt idx="3">
                  <c:v>90.8</c:v>
                </c:pt>
                <c:pt idx="4">
                  <c:v>90.4</c:v>
                </c:pt>
                <c:pt idx="5">
                  <c:v>90</c:v>
                </c:pt>
                <c:pt idx="6">
                  <c:v>89.6</c:v>
                </c:pt>
                <c:pt idx="7">
                  <c:v>89.2</c:v>
                </c:pt>
                <c:pt idx="8">
                  <c:v>88.8</c:v>
                </c:pt>
                <c:pt idx="9">
                  <c:v>88.4</c:v>
                </c:pt>
                <c:pt idx="10">
                  <c:v>88</c:v>
                </c:pt>
                <c:pt idx="11">
                  <c:v>87.6</c:v>
                </c:pt>
                <c:pt idx="12">
                  <c:v>87.2</c:v>
                </c:pt>
                <c:pt idx="13">
                  <c:v>86.8</c:v>
                </c:pt>
                <c:pt idx="14">
                  <c:v>86.4</c:v>
                </c:pt>
                <c:pt idx="15">
                  <c:v>86</c:v>
                </c:pt>
                <c:pt idx="16">
                  <c:v>85.6</c:v>
                </c:pt>
                <c:pt idx="17">
                  <c:v>85.2</c:v>
                </c:pt>
                <c:pt idx="18">
                  <c:v>84.8</c:v>
                </c:pt>
                <c:pt idx="19">
                  <c:v>84.4</c:v>
                </c:pt>
                <c:pt idx="20">
                  <c:v>84</c:v>
                </c:pt>
                <c:pt idx="21">
                  <c:v>83.6</c:v>
                </c:pt>
                <c:pt idx="22">
                  <c:v>83.2</c:v>
                </c:pt>
                <c:pt idx="23">
                  <c:v>82.8</c:v>
                </c:pt>
                <c:pt idx="24">
                  <c:v>82.4</c:v>
                </c:pt>
                <c:pt idx="25">
                  <c:v>82</c:v>
                </c:pt>
                <c:pt idx="26">
                  <c:v>81.599999999999994</c:v>
                </c:pt>
                <c:pt idx="27">
                  <c:v>81.2</c:v>
                </c:pt>
                <c:pt idx="28">
                  <c:v>80.8</c:v>
                </c:pt>
                <c:pt idx="29">
                  <c:v>80.400000000000006</c:v>
                </c:pt>
                <c:pt idx="30">
                  <c:v>80</c:v>
                </c:pt>
                <c:pt idx="31">
                  <c:v>79.599999999999994</c:v>
                </c:pt>
                <c:pt idx="32">
                  <c:v>79.2</c:v>
                </c:pt>
                <c:pt idx="33">
                  <c:v>78.8</c:v>
                </c:pt>
                <c:pt idx="34">
                  <c:v>78.400000000000006</c:v>
                </c:pt>
                <c:pt idx="35">
                  <c:v>78</c:v>
                </c:pt>
                <c:pt idx="36">
                  <c:v>77.599999999999994</c:v>
                </c:pt>
                <c:pt idx="37">
                  <c:v>77.2</c:v>
                </c:pt>
                <c:pt idx="38">
                  <c:v>76.8</c:v>
                </c:pt>
                <c:pt idx="39">
                  <c:v>76.400000000000006</c:v>
                </c:pt>
                <c:pt idx="40">
                  <c:v>76</c:v>
                </c:pt>
                <c:pt idx="41">
                  <c:v>75.599999999999994</c:v>
                </c:pt>
                <c:pt idx="42">
                  <c:v>75.2</c:v>
                </c:pt>
                <c:pt idx="43">
                  <c:v>74.8</c:v>
                </c:pt>
                <c:pt idx="44">
                  <c:v>74.400000000000006</c:v>
                </c:pt>
                <c:pt idx="45">
                  <c:v>74</c:v>
                </c:pt>
                <c:pt idx="46">
                  <c:v>73.599999999999994</c:v>
                </c:pt>
                <c:pt idx="47">
                  <c:v>73.2</c:v>
                </c:pt>
                <c:pt idx="48">
                  <c:v>72.8</c:v>
                </c:pt>
                <c:pt idx="49">
                  <c:v>72.400000000000006</c:v>
                </c:pt>
                <c:pt idx="50">
                  <c:v>72</c:v>
                </c:pt>
                <c:pt idx="51">
                  <c:v>71.599999999999994</c:v>
                </c:pt>
                <c:pt idx="52">
                  <c:v>71.2</c:v>
                </c:pt>
                <c:pt idx="53">
                  <c:v>70.8</c:v>
                </c:pt>
                <c:pt idx="54">
                  <c:v>70.400000000000006</c:v>
                </c:pt>
                <c:pt idx="55">
                  <c:v>70</c:v>
                </c:pt>
                <c:pt idx="56">
                  <c:v>69.599999999999994</c:v>
                </c:pt>
                <c:pt idx="57">
                  <c:v>69.2</c:v>
                </c:pt>
                <c:pt idx="58">
                  <c:v>68.8</c:v>
                </c:pt>
                <c:pt idx="59">
                  <c:v>68.400000000000006</c:v>
                </c:pt>
                <c:pt idx="60">
                  <c:v>68</c:v>
                </c:pt>
                <c:pt idx="61">
                  <c:v>67.599999999999994</c:v>
                </c:pt>
                <c:pt idx="62">
                  <c:v>67.2</c:v>
                </c:pt>
                <c:pt idx="63">
                  <c:v>66.8</c:v>
                </c:pt>
                <c:pt idx="64">
                  <c:v>66.400000000000006</c:v>
                </c:pt>
                <c:pt idx="65">
                  <c:v>66</c:v>
                </c:pt>
                <c:pt idx="66">
                  <c:v>65.599999999999994</c:v>
                </c:pt>
                <c:pt idx="67">
                  <c:v>65.2</c:v>
                </c:pt>
                <c:pt idx="68">
                  <c:v>64.8</c:v>
                </c:pt>
                <c:pt idx="69">
                  <c:v>64.400000000000006</c:v>
                </c:pt>
                <c:pt idx="70">
                  <c:v>64</c:v>
                </c:pt>
                <c:pt idx="71">
                  <c:v>63.599999999999994</c:v>
                </c:pt>
                <c:pt idx="72">
                  <c:v>63.2</c:v>
                </c:pt>
                <c:pt idx="73">
                  <c:v>62.8</c:v>
                </c:pt>
                <c:pt idx="74">
                  <c:v>62.4</c:v>
                </c:pt>
                <c:pt idx="75">
                  <c:v>62</c:v>
                </c:pt>
                <c:pt idx="76">
                  <c:v>61.599999999999994</c:v>
                </c:pt>
                <c:pt idx="77">
                  <c:v>61.2</c:v>
                </c:pt>
                <c:pt idx="78">
                  <c:v>60.8</c:v>
                </c:pt>
                <c:pt idx="79">
                  <c:v>60.4</c:v>
                </c:pt>
                <c:pt idx="80">
                  <c:v>60</c:v>
                </c:pt>
                <c:pt idx="81">
                  <c:v>59.6</c:v>
                </c:pt>
                <c:pt idx="82">
                  <c:v>59.199999999999996</c:v>
                </c:pt>
                <c:pt idx="83">
                  <c:v>58.8</c:v>
                </c:pt>
                <c:pt idx="84">
                  <c:v>58.4</c:v>
                </c:pt>
                <c:pt idx="85">
                  <c:v>58</c:v>
                </c:pt>
                <c:pt idx="86">
                  <c:v>57.6</c:v>
                </c:pt>
                <c:pt idx="87">
                  <c:v>57.199999999999996</c:v>
                </c:pt>
                <c:pt idx="88">
                  <c:v>56.8</c:v>
                </c:pt>
                <c:pt idx="89">
                  <c:v>56.4</c:v>
                </c:pt>
                <c:pt idx="90">
                  <c:v>56</c:v>
                </c:pt>
                <c:pt idx="91">
                  <c:v>55.6</c:v>
                </c:pt>
                <c:pt idx="92">
                  <c:v>55.199999999999996</c:v>
                </c:pt>
                <c:pt idx="93">
                  <c:v>54.8</c:v>
                </c:pt>
                <c:pt idx="94">
                  <c:v>54.4</c:v>
                </c:pt>
                <c:pt idx="95">
                  <c:v>54</c:v>
                </c:pt>
                <c:pt idx="96">
                  <c:v>53.599999999999994</c:v>
                </c:pt>
                <c:pt idx="97">
                  <c:v>53.199999999999996</c:v>
                </c:pt>
                <c:pt idx="98">
                  <c:v>52.8</c:v>
                </c:pt>
                <c:pt idx="99">
                  <c:v>52.4</c:v>
                </c:pt>
                <c:pt idx="100">
                  <c:v>52</c:v>
                </c:pt>
                <c:pt idx="101">
                  <c:v>51.599999999999994</c:v>
                </c:pt>
                <c:pt idx="102">
                  <c:v>51.199999999999996</c:v>
                </c:pt>
                <c:pt idx="103">
                  <c:v>50.8</c:v>
                </c:pt>
                <c:pt idx="104">
                  <c:v>50.4</c:v>
                </c:pt>
                <c:pt idx="105">
                  <c:v>50</c:v>
                </c:pt>
                <c:pt idx="106">
                  <c:v>49.599999999999994</c:v>
                </c:pt>
                <c:pt idx="107">
                  <c:v>49.199999999999996</c:v>
                </c:pt>
                <c:pt idx="108">
                  <c:v>48.8</c:v>
                </c:pt>
                <c:pt idx="109">
                  <c:v>48.4</c:v>
                </c:pt>
                <c:pt idx="110">
                  <c:v>48</c:v>
                </c:pt>
                <c:pt idx="111">
                  <c:v>47.599999999999994</c:v>
                </c:pt>
                <c:pt idx="112">
                  <c:v>47.199999999999996</c:v>
                </c:pt>
                <c:pt idx="113">
                  <c:v>46.8</c:v>
                </c:pt>
                <c:pt idx="114">
                  <c:v>46.4</c:v>
                </c:pt>
                <c:pt idx="115">
                  <c:v>46</c:v>
                </c:pt>
                <c:pt idx="116">
                  <c:v>45.599999999999994</c:v>
                </c:pt>
                <c:pt idx="117">
                  <c:v>45.199999999999996</c:v>
                </c:pt>
                <c:pt idx="118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34-46E0-91D6-ED648E0B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66088"/>
        <c:axId val="2123310088"/>
      </c:scatterChart>
      <c:valAx>
        <c:axId val="19059660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10088"/>
        <c:crosses val="autoZero"/>
        <c:crossBetween val="midCat"/>
        <c:majorUnit val="5"/>
      </c:valAx>
      <c:valAx>
        <c:axId val="21233100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6608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'Es44'!$B$4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'Es44'!$A$5:$A$10</c:f>
              <c:numCache>
                <c:formatCode>0.00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'Es44'!$B$5:$B$10</c:f>
              <c:numCache>
                <c:formatCode>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F3-4737-9100-FCC8EA24BBD5}"/>
            </c:ext>
          </c:extLst>
        </c:ser>
        <c:ser>
          <c:idx val="1"/>
          <c:order val="1"/>
          <c:tx>
            <c:strRef>
              <c:f>'Es44'!$C$4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'Es44'!$A$5:$A$10</c:f>
              <c:numCache>
                <c:formatCode>0.00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'Es44'!$C$5:$C$10</c:f>
              <c:numCache>
                <c:formatCode>0.00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19</c:v>
                </c:pt>
                <c:pt idx="4">
                  <c:v>35</c:v>
                </c:pt>
                <c:pt idx="5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F3-4737-9100-FCC8EA24B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851272"/>
        <c:axId val="2132721672"/>
      </c:scatterChart>
      <c:valAx>
        <c:axId val="212385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21672"/>
        <c:crosses val="autoZero"/>
        <c:crossBetween val="midCat"/>
      </c:valAx>
      <c:valAx>
        <c:axId val="213272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851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Ricavo/Costi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'Es45'!$B$5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'Es45'!$A$6:$A$11</c:f>
              <c:numCache>
                <c:formatCode>0.00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'Es45'!$B$6:$B$11</c:f>
              <c:numCache>
                <c:formatCode>0.00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99-4AC2-B4C4-7DF364C2DCAA}"/>
            </c:ext>
          </c:extLst>
        </c:ser>
        <c:ser>
          <c:idx val="1"/>
          <c:order val="1"/>
          <c:tx>
            <c:strRef>
              <c:f>'Es45'!$C$5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'Es45'!$A$6:$A$11</c:f>
              <c:numCache>
                <c:formatCode>0.00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'Es45'!$C$6:$C$11</c:f>
              <c:numCache>
                <c:formatCode>0.00</c:formatCode>
                <c:ptCount val="6"/>
                <c:pt idx="0">
                  <c:v>10</c:v>
                </c:pt>
                <c:pt idx="1">
                  <c:v>10.015000000000001</c:v>
                </c:pt>
                <c:pt idx="2">
                  <c:v>10.084852813742385</c:v>
                </c:pt>
                <c:pt idx="3">
                  <c:v>10.233826859021798</c:v>
                </c:pt>
                <c:pt idx="4">
                  <c:v>10.48</c:v>
                </c:pt>
                <c:pt idx="5">
                  <c:v>10.838525491562422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99-4AC2-B4C4-7DF364C2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201544"/>
        <c:axId val="2131324424"/>
      </c:scatterChart>
      <c:valAx>
        <c:axId val="213120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24424"/>
        <c:crosses val="autoZero"/>
        <c:crossBetween val="midCat"/>
      </c:valAx>
      <c:valAx>
        <c:axId val="213132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01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'Es46-47'!$C$4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'Es46-47'!$A$5:$A$9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'Es46-47'!$C$5:$C$9</c:f>
              <c:numCache>
                <c:formatCode>General</c:formatCode>
                <c:ptCount val="5"/>
                <c:pt idx="0">
                  <c:v>15</c:v>
                </c:pt>
                <c:pt idx="1">
                  <c:v>15.01</c:v>
                </c:pt>
                <c:pt idx="2">
                  <c:v>15.08</c:v>
                </c:pt>
                <c:pt idx="3">
                  <c:v>15.27</c:v>
                </c:pt>
                <c:pt idx="4">
                  <c:v>15.64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F3-43C2-BEB4-0A71D8435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895624"/>
        <c:axId val="2134907912"/>
      </c:scatterChart>
      <c:valAx>
        <c:axId val="213489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07912"/>
        <c:crosses val="autoZero"/>
        <c:crossBetween val="midCat"/>
      </c:valAx>
      <c:valAx>
        <c:axId val="213490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95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'Es46-47'!$B$4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'Es46-47'!$A$5:$A$9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'Es46-47'!$B$5:$B$9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92-406C-B289-8F3B02D8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2151"/>
        <c:axId val="3144711"/>
      </c:scatterChart>
      <c:valAx>
        <c:axId val="3142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711"/>
        <c:crosses val="autoZero"/>
        <c:crossBetween val="midCat"/>
      </c:valAx>
      <c:valAx>
        <c:axId val="3144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'Es46-47'!$B$4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'Es46-47'!$A$5:$A$9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'Es46-47'!$B$5:$B$9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90-4EE7-B8E4-3550C00D2043}"/>
            </c:ext>
          </c:extLst>
        </c:ser>
        <c:ser>
          <c:idx val="1"/>
          <c:order val="1"/>
          <c:tx>
            <c:strRef>
              <c:f>'Es46-47'!$C$4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'Es46-47'!$A$5:$A$9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'Es46-47'!$C$5:$C$9</c:f>
              <c:numCache>
                <c:formatCode>General</c:formatCode>
                <c:ptCount val="5"/>
                <c:pt idx="0">
                  <c:v>15</c:v>
                </c:pt>
                <c:pt idx="1">
                  <c:v>15.01</c:v>
                </c:pt>
                <c:pt idx="2">
                  <c:v>15.08</c:v>
                </c:pt>
                <c:pt idx="3">
                  <c:v>15.27</c:v>
                </c:pt>
                <c:pt idx="4">
                  <c:v>15.64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90-4EE7-B8E4-3550C00D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13863"/>
        <c:axId val="35537415"/>
      </c:scatterChart>
      <c:valAx>
        <c:axId val="3551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7415"/>
        <c:crosses val="autoZero"/>
        <c:crossBetween val="midCat"/>
      </c:valAx>
      <c:valAx>
        <c:axId val="35537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3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0</xdr:row>
      <xdr:rowOff>28575</xdr:rowOff>
    </xdr:from>
    <xdr:to>
      <xdr:col>16</xdr:col>
      <xdr:colOff>238125</xdr:colOff>
      <xdr:row>31</xdr:row>
      <xdr:rowOff>161925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66193EA-8FB1-8EE5-96AF-6BCDC7773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95250</xdr:rowOff>
    </xdr:from>
    <xdr:to>
      <xdr:col>10</xdr:col>
      <xdr:colOff>571500</xdr:colOff>
      <xdr:row>14</xdr:row>
      <xdr:rowOff>171450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998B0157-A919-42ED-9F23-B5E676B62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</xdr:row>
      <xdr:rowOff>152400</xdr:rowOff>
    </xdr:from>
    <xdr:to>
      <xdr:col>16</xdr:col>
      <xdr:colOff>180975</xdr:colOff>
      <xdr:row>38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3AEDE46-3A49-351F-00B5-0F83C01FD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2</xdr:row>
      <xdr:rowOff>161925</xdr:rowOff>
    </xdr:from>
    <xdr:to>
      <xdr:col>13</xdr:col>
      <xdr:colOff>171450</xdr:colOff>
      <xdr:row>17</xdr:row>
      <xdr:rowOff>47625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42EAC34-B64F-AA8B-4BD1-E127CA8EC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6</xdr:row>
      <xdr:rowOff>9525</xdr:rowOff>
    </xdr:from>
    <xdr:to>
      <xdr:col>14</xdr:col>
      <xdr:colOff>19050</xdr:colOff>
      <xdr:row>20</xdr:row>
      <xdr:rowOff>85725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01C9976-19A2-26CE-CC12-298D6730B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21</xdr:row>
      <xdr:rowOff>0</xdr:rowOff>
    </xdr:from>
    <xdr:to>
      <xdr:col>11</xdr:col>
      <xdr:colOff>114300</xdr:colOff>
      <xdr:row>35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54C2772-7E8E-9C9C-0DBC-A7656194F222}"/>
            </a:ext>
            <a:ext uri="{147F2762-F138-4A5C-976F-8EAC2B608ADB}">
              <a16:predDERef xmlns:a16="http://schemas.microsoft.com/office/drawing/2014/main" pred="{0E820F3B-976E-765B-D21B-1F96A4ED1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36</xdr:row>
      <xdr:rowOff>180975</xdr:rowOff>
    </xdr:from>
    <xdr:to>
      <xdr:col>11</xdr:col>
      <xdr:colOff>171450</xdr:colOff>
      <xdr:row>51</xdr:row>
      <xdr:rowOff>66675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76D8D51-5BAF-870F-6B91-FC67A7CA49A7}"/>
            </a:ext>
            <a:ext uri="{147F2762-F138-4A5C-976F-8EAC2B608ADB}">
              <a16:predDERef xmlns:a16="http://schemas.microsoft.com/office/drawing/2014/main" pred="{954C2772-7E8E-9C9C-0DBC-A7656194F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485775</xdr:colOff>
      <xdr:row>5</xdr:row>
      <xdr:rowOff>142875</xdr:rowOff>
    </xdr:from>
    <xdr:to>
      <xdr:col>11</xdr:col>
      <xdr:colOff>180975</xdr:colOff>
      <xdr:row>20</xdr:row>
      <xdr:rowOff>28575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F671504-6F54-6F50-ABB4-FA891C913E0E}"/>
            </a:ext>
            <a:ext uri="{147F2762-F138-4A5C-976F-8EAC2B608ADB}">
              <a16:predDERef xmlns:a16="http://schemas.microsoft.com/office/drawing/2014/main" pred="{C76D8D51-5BAF-870F-6B91-FC67A7CA4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M41" sqref="M41"/>
    </sheetView>
  </sheetViews>
  <sheetFormatPr defaultRowHeight="15"/>
  <cols>
    <col min="9" max="9" width="10.42578125" customWidth="1"/>
    <col min="10" max="10" width="12.42578125" customWidth="1"/>
  </cols>
  <sheetData>
    <row r="1" spans="1:7">
      <c r="A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>
        <v>0</v>
      </c>
      <c r="F2">
        <f>0.01*(E2)^2+10</f>
        <v>10</v>
      </c>
      <c r="G2">
        <f>90-4*(E2)</f>
        <v>90</v>
      </c>
    </row>
    <row r="3" spans="1:7">
      <c r="E3">
        <f>E2+1</f>
        <v>1</v>
      </c>
      <c r="F3">
        <f t="shared" ref="F3:F32" si="0">0.01*(E3)^2+10</f>
        <v>10.01</v>
      </c>
      <c r="G3">
        <f t="shared" ref="G3:G32" si="1">90-4*(E3)</f>
        <v>86</v>
      </c>
    </row>
    <row r="4" spans="1:7">
      <c r="E4">
        <f t="shared" ref="E4:E33" si="2">E3+1</f>
        <v>2</v>
      </c>
      <c r="F4">
        <f t="shared" si="0"/>
        <v>10.039999999999999</v>
      </c>
      <c r="G4">
        <f t="shared" si="1"/>
        <v>82</v>
      </c>
    </row>
    <row r="5" spans="1:7">
      <c r="E5">
        <f t="shared" si="2"/>
        <v>3</v>
      </c>
      <c r="F5">
        <f t="shared" si="0"/>
        <v>10.09</v>
      </c>
      <c r="G5">
        <f t="shared" si="1"/>
        <v>78</v>
      </c>
    </row>
    <row r="6" spans="1:7">
      <c r="E6">
        <f t="shared" si="2"/>
        <v>4</v>
      </c>
      <c r="F6">
        <f t="shared" si="0"/>
        <v>10.16</v>
      </c>
      <c r="G6">
        <f t="shared" si="1"/>
        <v>74</v>
      </c>
    </row>
    <row r="7" spans="1:7">
      <c r="E7">
        <f t="shared" si="2"/>
        <v>5</v>
      </c>
      <c r="F7">
        <f t="shared" si="0"/>
        <v>10.25</v>
      </c>
      <c r="G7">
        <f t="shared" si="1"/>
        <v>70</v>
      </c>
    </row>
    <row r="8" spans="1:7">
      <c r="E8">
        <f t="shared" si="2"/>
        <v>6</v>
      </c>
      <c r="F8">
        <f t="shared" si="0"/>
        <v>10.36</v>
      </c>
      <c r="G8">
        <f t="shared" si="1"/>
        <v>66</v>
      </c>
    </row>
    <row r="9" spans="1:7">
      <c r="E9">
        <f t="shared" si="2"/>
        <v>7</v>
      </c>
      <c r="F9">
        <f t="shared" si="0"/>
        <v>10.49</v>
      </c>
      <c r="G9">
        <f t="shared" si="1"/>
        <v>62</v>
      </c>
    </row>
    <row r="10" spans="1:7">
      <c r="E10">
        <f t="shared" si="2"/>
        <v>8</v>
      </c>
      <c r="F10">
        <f t="shared" si="0"/>
        <v>10.64</v>
      </c>
      <c r="G10">
        <f t="shared" si="1"/>
        <v>58</v>
      </c>
    </row>
    <row r="11" spans="1:7">
      <c r="E11">
        <f t="shared" si="2"/>
        <v>9</v>
      </c>
      <c r="F11">
        <f t="shared" si="0"/>
        <v>10.81</v>
      </c>
      <c r="G11">
        <f t="shared" si="1"/>
        <v>54</v>
      </c>
    </row>
    <row r="12" spans="1:7">
      <c r="E12">
        <f t="shared" si="2"/>
        <v>10</v>
      </c>
      <c r="F12">
        <f t="shared" si="0"/>
        <v>11</v>
      </c>
      <c r="G12">
        <f t="shared" si="1"/>
        <v>50</v>
      </c>
    </row>
    <row r="13" spans="1:7">
      <c r="E13">
        <f t="shared" si="2"/>
        <v>11</v>
      </c>
      <c r="F13">
        <f t="shared" si="0"/>
        <v>11.21</v>
      </c>
      <c r="G13">
        <f t="shared" si="1"/>
        <v>46</v>
      </c>
    </row>
    <row r="14" spans="1:7">
      <c r="E14">
        <f t="shared" si="2"/>
        <v>12</v>
      </c>
      <c r="F14">
        <f t="shared" si="0"/>
        <v>11.44</v>
      </c>
      <c r="G14">
        <f t="shared" si="1"/>
        <v>42</v>
      </c>
    </row>
    <row r="15" spans="1:7">
      <c r="E15">
        <f t="shared" si="2"/>
        <v>13</v>
      </c>
      <c r="F15">
        <f t="shared" si="0"/>
        <v>11.69</v>
      </c>
      <c r="G15">
        <f t="shared" si="1"/>
        <v>38</v>
      </c>
    </row>
    <row r="16" spans="1:7">
      <c r="E16">
        <f t="shared" si="2"/>
        <v>14</v>
      </c>
      <c r="F16">
        <f t="shared" si="0"/>
        <v>11.96</v>
      </c>
      <c r="G16">
        <f t="shared" si="1"/>
        <v>34</v>
      </c>
    </row>
    <row r="17" spans="5:7">
      <c r="E17">
        <f t="shared" si="2"/>
        <v>15</v>
      </c>
      <c r="F17">
        <f t="shared" si="0"/>
        <v>12.25</v>
      </c>
      <c r="G17">
        <f t="shared" si="1"/>
        <v>30</v>
      </c>
    </row>
    <row r="18" spans="5:7">
      <c r="E18">
        <f t="shared" si="2"/>
        <v>16</v>
      </c>
      <c r="F18">
        <f t="shared" si="0"/>
        <v>12.56</v>
      </c>
      <c r="G18">
        <f t="shared" si="1"/>
        <v>26</v>
      </c>
    </row>
    <row r="19" spans="5:7">
      <c r="E19">
        <f t="shared" si="2"/>
        <v>17</v>
      </c>
      <c r="F19">
        <f t="shared" si="0"/>
        <v>12.89</v>
      </c>
      <c r="G19">
        <f t="shared" si="1"/>
        <v>22</v>
      </c>
    </row>
    <row r="20" spans="5:7">
      <c r="E20">
        <f t="shared" si="2"/>
        <v>18</v>
      </c>
      <c r="F20">
        <f t="shared" si="0"/>
        <v>13.24</v>
      </c>
      <c r="G20">
        <f t="shared" si="1"/>
        <v>18</v>
      </c>
    </row>
    <row r="21" spans="5:7">
      <c r="E21">
        <f t="shared" si="2"/>
        <v>19</v>
      </c>
      <c r="F21">
        <f t="shared" si="0"/>
        <v>13.61</v>
      </c>
      <c r="G21">
        <f t="shared" si="1"/>
        <v>14</v>
      </c>
    </row>
    <row r="22" spans="5:7">
      <c r="E22">
        <f t="shared" si="2"/>
        <v>20</v>
      </c>
      <c r="F22">
        <f t="shared" si="0"/>
        <v>14</v>
      </c>
      <c r="G22">
        <f t="shared" si="1"/>
        <v>10</v>
      </c>
    </row>
    <row r="34" spans="9:11">
      <c r="I34" t="s">
        <v>5</v>
      </c>
      <c r="K34">
        <v>14</v>
      </c>
    </row>
    <row r="35" spans="9:11">
      <c r="I35" t="s">
        <v>6</v>
      </c>
      <c r="K35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4941-AD00-421B-A19E-C735B598DE49}">
  <dimension ref="A1:C8"/>
  <sheetViews>
    <sheetView workbookViewId="0">
      <selection activeCell="G27" sqref="G27"/>
    </sheetView>
  </sheetViews>
  <sheetFormatPr defaultRowHeight="15"/>
  <cols>
    <col min="1" max="1" width="12.140625" customWidth="1"/>
    <col min="2" max="2" width="11.85546875" customWidth="1"/>
    <col min="3" max="3" width="12.5703125" customWidth="1"/>
  </cols>
  <sheetData>
    <row r="1" spans="1:3">
      <c r="A1" t="s">
        <v>7</v>
      </c>
      <c r="B1" t="s">
        <v>8</v>
      </c>
      <c r="C1" t="s">
        <v>9</v>
      </c>
    </row>
    <row r="2" spans="1:3">
      <c r="A2">
        <v>30000</v>
      </c>
      <c r="B2">
        <v>5000</v>
      </c>
      <c r="C2">
        <v>300</v>
      </c>
    </row>
    <row r="3" spans="1:3">
      <c r="A3">
        <v>20000</v>
      </c>
      <c r="B3">
        <v>8000</v>
      </c>
      <c r="C3">
        <v>320</v>
      </c>
    </row>
    <row r="4" spans="1:3">
      <c r="A4">
        <v>17000</v>
      </c>
      <c r="B4">
        <v>9000</v>
      </c>
      <c r="C4">
        <v>370</v>
      </c>
    </row>
    <row r="5" spans="1:3">
      <c r="A5">
        <v>12000</v>
      </c>
      <c r="B5">
        <v>10000</v>
      </c>
      <c r="C5">
        <v>400</v>
      </c>
    </row>
    <row r="6" spans="1:3">
      <c r="A6">
        <v>10000</v>
      </c>
      <c r="B6">
        <v>11000</v>
      </c>
      <c r="C6">
        <v>410</v>
      </c>
    </row>
    <row r="7" spans="1:3">
      <c r="A7">
        <v>8000</v>
      </c>
      <c r="B7">
        <v>12000</v>
      </c>
      <c r="C7">
        <v>420</v>
      </c>
    </row>
    <row r="8" spans="1:3">
      <c r="A8">
        <v>5000</v>
      </c>
      <c r="B8">
        <v>13000</v>
      </c>
      <c r="C8">
        <v>440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125A-8965-43A6-978B-5AAA87718CA0}">
  <dimension ref="A1:I120"/>
  <sheetViews>
    <sheetView workbookViewId="0">
      <selection activeCell="J45" sqref="J45"/>
    </sheetView>
  </sheetViews>
  <sheetFormatPr defaultRowHeight="15"/>
  <sheetData>
    <row r="1" spans="1:7">
      <c r="A1" t="s">
        <v>10</v>
      </c>
      <c r="E1" t="s">
        <v>1</v>
      </c>
      <c r="F1" t="s">
        <v>2</v>
      </c>
      <c r="G1" t="s">
        <v>3</v>
      </c>
    </row>
    <row r="2" spans="1:7">
      <c r="A2" t="s">
        <v>11</v>
      </c>
      <c r="E2">
        <v>0</v>
      </c>
      <c r="F2">
        <f>20+(0.4*E2)</f>
        <v>20</v>
      </c>
      <c r="G2">
        <f>92-0.4*(E2)</f>
        <v>92</v>
      </c>
    </row>
    <row r="3" spans="1:7">
      <c r="E3">
        <f>E2+1</f>
        <v>1</v>
      </c>
      <c r="F3">
        <f t="shared" ref="F3:F66" si="0">20+(0.4*E3)</f>
        <v>20.399999999999999</v>
      </c>
      <c r="G3">
        <f t="shared" ref="G3:G66" si="1">92-0.4*(E3)</f>
        <v>91.6</v>
      </c>
    </row>
    <row r="4" spans="1:7">
      <c r="E4">
        <f t="shared" ref="E4:E67" si="2">E3+1</f>
        <v>2</v>
      </c>
      <c r="F4">
        <f t="shared" si="0"/>
        <v>20.8</v>
      </c>
      <c r="G4">
        <f t="shared" si="1"/>
        <v>91.2</v>
      </c>
    </row>
    <row r="5" spans="1:7">
      <c r="E5">
        <f t="shared" si="2"/>
        <v>3</v>
      </c>
      <c r="F5">
        <f t="shared" si="0"/>
        <v>21.2</v>
      </c>
      <c r="G5">
        <f t="shared" si="1"/>
        <v>90.8</v>
      </c>
    </row>
    <row r="6" spans="1:7">
      <c r="E6">
        <f t="shared" si="2"/>
        <v>4</v>
      </c>
      <c r="F6">
        <f t="shared" si="0"/>
        <v>21.6</v>
      </c>
      <c r="G6">
        <f t="shared" si="1"/>
        <v>90.4</v>
      </c>
    </row>
    <row r="7" spans="1:7">
      <c r="E7">
        <f t="shared" si="2"/>
        <v>5</v>
      </c>
      <c r="F7">
        <f t="shared" si="0"/>
        <v>22</v>
      </c>
      <c r="G7">
        <f t="shared" si="1"/>
        <v>90</v>
      </c>
    </row>
    <row r="8" spans="1:7">
      <c r="E8">
        <f t="shared" si="2"/>
        <v>6</v>
      </c>
      <c r="F8">
        <f t="shared" si="0"/>
        <v>22.4</v>
      </c>
      <c r="G8">
        <f t="shared" si="1"/>
        <v>89.6</v>
      </c>
    </row>
    <row r="9" spans="1:7">
      <c r="E9">
        <f t="shared" si="2"/>
        <v>7</v>
      </c>
      <c r="F9">
        <f t="shared" si="0"/>
        <v>22.8</v>
      </c>
      <c r="G9">
        <f t="shared" si="1"/>
        <v>89.2</v>
      </c>
    </row>
    <row r="10" spans="1:7">
      <c r="E10">
        <f t="shared" si="2"/>
        <v>8</v>
      </c>
      <c r="F10">
        <f t="shared" si="0"/>
        <v>23.2</v>
      </c>
      <c r="G10">
        <f t="shared" si="1"/>
        <v>88.8</v>
      </c>
    </row>
    <row r="11" spans="1:7">
      <c r="E11">
        <f t="shared" si="2"/>
        <v>9</v>
      </c>
      <c r="F11">
        <f t="shared" si="0"/>
        <v>23.6</v>
      </c>
      <c r="G11">
        <f t="shared" si="1"/>
        <v>88.4</v>
      </c>
    </row>
    <row r="12" spans="1:7">
      <c r="E12">
        <f t="shared" si="2"/>
        <v>10</v>
      </c>
      <c r="F12">
        <f t="shared" si="0"/>
        <v>24</v>
      </c>
      <c r="G12">
        <f t="shared" si="1"/>
        <v>88</v>
      </c>
    </row>
    <row r="13" spans="1:7">
      <c r="E13">
        <f t="shared" si="2"/>
        <v>11</v>
      </c>
      <c r="F13">
        <f t="shared" si="0"/>
        <v>24.4</v>
      </c>
      <c r="G13">
        <f t="shared" si="1"/>
        <v>87.6</v>
      </c>
    </row>
    <row r="14" spans="1:7">
      <c r="E14">
        <f t="shared" si="2"/>
        <v>12</v>
      </c>
      <c r="F14">
        <f t="shared" si="0"/>
        <v>24.8</v>
      </c>
      <c r="G14">
        <f t="shared" si="1"/>
        <v>87.2</v>
      </c>
    </row>
    <row r="15" spans="1:7">
      <c r="E15">
        <f t="shared" si="2"/>
        <v>13</v>
      </c>
      <c r="F15">
        <f t="shared" si="0"/>
        <v>25.2</v>
      </c>
      <c r="G15">
        <f t="shared" si="1"/>
        <v>86.8</v>
      </c>
    </row>
    <row r="16" spans="1:7">
      <c r="E16">
        <f t="shared" si="2"/>
        <v>14</v>
      </c>
      <c r="F16">
        <f t="shared" si="0"/>
        <v>25.6</v>
      </c>
      <c r="G16">
        <f t="shared" si="1"/>
        <v>86.4</v>
      </c>
    </row>
    <row r="17" spans="5:7">
      <c r="E17">
        <f t="shared" si="2"/>
        <v>15</v>
      </c>
      <c r="F17">
        <f t="shared" si="0"/>
        <v>26</v>
      </c>
      <c r="G17">
        <f t="shared" si="1"/>
        <v>86</v>
      </c>
    </row>
    <row r="18" spans="5:7">
      <c r="E18">
        <f t="shared" si="2"/>
        <v>16</v>
      </c>
      <c r="F18">
        <f t="shared" si="0"/>
        <v>26.4</v>
      </c>
      <c r="G18">
        <f t="shared" si="1"/>
        <v>85.6</v>
      </c>
    </row>
    <row r="19" spans="5:7">
      <c r="E19">
        <f t="shared" si="2"/>
        <v>17</v>
      </c>
      <c r="F19">
        <f t="shared" si="0"/>
        <v>26.8</v>
      </c>
      <c r="G19">
        <f t="shared" si="1"/>
        <v>85.2</v>
      </c>
    </row>
    <row r="20" spans="5:7">
      <c r="E20">
        <f t="shared" si="2"/>
        <v>18</v>
      </c>
      <c r="F20">
        <f t="shared" si="0"/>
        <v>27.2</v>
      </c>
      <c r="G20">
        <f t="shared" si="1"/>
        <v>84.8</v>
      </c>
    </row>
    <row r="21" spans="5:7">
      <c r="E21">
        <f t="shared" si="2"/>
        <v>19</v>
      </c>
      <c r="F21">
        <f t="shared" si="0"/>
        <v>27.6</v>
      </c>
      <c r="G21">
        <f t="shared" si="1"/>
        <v>84.4</v>
      </c>
    </row>
    <row r="22" spans="5:7">
      <c r="E22">
        <f t="shared" si="2"/>
        <v>20</v>
      </c>
      <c r="F22">
        <f t="shared" si="0"/>
        <v>28</v>
      </c>
      <c r="G22">
        <f t="shared" si="1"/>
        <v>84</v>
      </c>
    </row>
    <row r="23" spans="5:7">
      <c r="E23">
        <f t="shared" si="2"/>
        <v>21</v>
      </c>
      <c r="F23">
        <f t="shared" si="0"/>
        <v>28.4</v>
      </c>
      <c r="G23">
        <f t="shared" si="1"/>
        <v>83.6</v>
      </c>
    </row>
    <row r="24" spans="5:7">
      <c r="E24">
        <f t="shared" si="2"/>
        <v>22</v>
      </c>
      <c r="F24">
        <f t="shared" si="0"/>
        <v>28.8</v>
      </c>
      <c r="G24">
        <f t="shared" si="1"/>
        <v>83.2</v>
      </c>
    </row>
    <row r="25" spans="5:7">
      <c r="E25">
        <f t="shared" si="2"/>
        <v>23</v>
      </c>
      <c r="F25">
        <f t="shared" si="0"/>
        <v>29.200000000000003</v>
      </c>
      <c r="G25">
        <f t="shared" si="1"/>
        <v>82.8</v>
      </c>
    </row>
    <row r="26" spans="5:7">
      <c r="E26">
        <f t="shared" si="2"/>
        <v>24</v>
      </c>
      <c r="F26">
        <f t="shared" si="0"/>
        <v>29.6</v>
      </c>
      <c r="G26">
        <f t="shared" si="1"/>
        <v>82.4</v>
      </c>
    </row>
    <row r="27" spans="5:7">
      <c r="E27">
        <f t="shared" si="2"/>
        <v>25</v>
      </c>
      <c r="F27">
        <f t="shared" si="0"/>
        <v>30</v>
      </c>
      <c r="G27">
        <f t="shared" si="1"/>
        <v>82</v>
      </c>
    </row>
    <row r="28" spans="5:7">
      <c r="E28">
        <f t="shared" si="2"/>
        <v>26</v>
      </c>
      <c r="F28">
        <f t="shared" si="0"/>
        <v>30.4</v>
      </c>
      <c r="G28">
        <f t="shared" si="1"/>
        <v>81.599999999999994</v>
      </c>
    </row>
    <row r="29" spans="5:7">
      <c r="E29">
        <f t="shared" si="2"/>
        <v>27</v>
      </c>
      <c r="F29">
        <f t="shared" si="0"/>
        <v>30.8</v>
      </c>
      <c r="G29">
        <f t="shared" si="1"/>
        <v>81.2</v>
      </c>
    </row>
    <row r="30" spans="5:7">
      <c r="E30">
        <f t="shared" si="2"/>
        <v>28</v>
      </c>
      <c r="F30">
        <f t="shared" si="0"/>
        <v>31.200000000000003</v>
      </c>
      <c r="G30">
        <f t="shared" si="1"/>
        <v>80.8</v>
      </c>
    </row>
    <row r="31" spans="5:7">
      <c r="E31">
        <f t="shared" si="2"/>
        <v>29</v>
      </c>
      <c r="F31">
        <f t="shared" si="0"/>
        <v>31.6</v>
      </c>
      <c r="G31">
        <f t="shared" si="1"/>
        <v>80.400000000000006</v>
      </c>
    </row>
    <row r="32" spans="5:7">
      <c r="E32">
        <f t="shared" si="2"/>
        <v>30</v>
      </c>
      <c r="F32">
        <f t="shared" si="0"/>
        <v>32</v>
      </c>
      <c r="G32">
        <f t="shared" si="1"/>
        <v>80</v>
      </c>
    </row>
    <row r="33" spans="5:9">
      <c r="E33">
        <f t="shared" si="2"/>
        <v>31</v>
      </c>
      <c r="F33">
        <f t="shared" si="0"/>
        <v>32.4</v>
      </c>
      <c r="G33">
        <f t="shared" si="1"/>
        <v>79.599999999999994</v>
      </c>
    </row>
    <row r="34" spans="5:9">
      <c r="E34">
        <f t="shared" si="2"/>
        <v>32</v>
      </c>
      <c r="F34">
        <f t="shared" si="0"/>
        <v>32.799999999999997</v>
      </c>
      <c r="G34">
        <f t="shared" si="1"/>
        <v>79.2</v>
      </c>
    </row>
    <row r="35" spans="5:9">
      <c r="E35">
        <f t="shared" si="2"/>
        <v>33</v>
      </c>
      <c r="F35">
        <f t="shared" si="0"/>
        <v>33.200000000000003</v>
      </c>
      <c r="G35">
        <f t="shared" si="1"/>
        <v>78.8</v>
      </c>
    </row>
    <row r="36" spans="5:9">
      <c r="E36">
        <f t="shared" si="2"/>
        <v>34</v>
      </c>
      <c r="F36">
        <f t="shared" si="0"/>
        <v>33.6</v>
      </c>
      <c r="G36">
        <f t="shared" si="1"/>
        <v>78.400000000000006</v>
      </c>
    </row>
    <row r="37" spans="5:9">
      <c r="E37">
        <f t="shared" si="2"/>
        <v>35</v>
      </c>
      <c r="F37">
        <f t="shared" si="0"/>
        <v>34</v>
      </c>
      <c r="G37">
        <f t="shared" si="1"/>
        <v>78</v>
      </c>
    </row>
    <row r="38" spans="5:9">
      <c r="E38">
        <f t="shared" si="2"/>
        <v>36</v>
      </c>
      <c r="F38">
        <f t="shared" si="0"/>
        <v>34.4</v>
      </c>
      <c r="G38">
        <f t="shared" si="1"/>
        <v>77.599999999999994</v>
      </c>
    </row>
    <row r="39" spans="5:9">
      <c r="E39">
        <f t="shared" si="2"/>
        <v>37</v>
      </c>
      <c r="F39">
        <f t="shared" si="0"/>
        <v>34.799999999999997</v>
      </c>
      <c r="G39">
        <f t="shared" si="1"/>
        <v>77.2</v>
      </c>
    </row>
    <row r="40" spans="5:9">
      <c r="E40">
        <f t="shared" si="2"/>
        <v>38</v>
      </c>
      <c r="F40">
        <f t="shared" si="0"/>
        <v>35.200000000000003</v>
      </c>
      <c r="G40">
        <f t="shared" si="1"/>
        <v>76.8</v>
      </c>
    </row>
    <row r="41" spans="5:9">
      <c r="E41">
        <f t="shared" si="2"/>
        <v>39</v>
      </c>
      <c r="F41">
        <f t="shared" si="0"/>
        <v>35.6</v>
      </c>
      <c r="G41">
        <f t="shared" si="1"/>
        <v>76.400000000000006</v>
      </c>
      <c r="I41" t="s">
        <v>12</v>
      </c>
    </row>
    <row r="42" spans="5:9">
      <c r="E42">
        <f t="shared" si="2"/>
        <v>40</v>
      </c>
      <c r="F42">
        <f t="shared" si="0"/>
        <v>36</v>
      </c>
      <c r="G42">
        <f t="shared" si="1"/>
        <v>76</v>
      </c>
      <c r="I42" t="s">
        <v>13</v>
      </c>
    </row>
    <row r="43" spans="5:9">
      <c r="E43">
        <f t="shared" si="2"/>
        <v>41</v>
      </c>
      <c r="F43">
        <f t="shared" si="0"/>
        <v>36.400000000000006</v>
      </c>
      <c r="G43">
        <f t="shared" si="1"/>
        <v>75.599999999999994</v>
      </c>
    </row>
    <row r="44" spans="5:9">
      <c r="E44">
        <f t="shared" si="2"/>
        <v>42</v>
      </c>
      <c r="F44">
        <f t="shared" si="0"/>
        <v>36.799999999999997</v>
      </c>
      <c r="G44">
        <f t="shared" si="1"/>
        <v>75.2</v>
      </c>
    </row>
    <row r="45" spans="5:9">
      <c r="E45">
        <f t="shared" si="2"/>
        <v>43</v>
      </c>
      <c r="F45">
        <f t="shared" si="0"/>
        <v>37.200000000000003</v>
      </c>
      <c r="G45">
        <f t="shared" si="1"/>
        <v>74.8</v>
      </c>
    </row>
    <row r="46" spans="5:9">
      <c r="E46">
        <f t="shared" si="2"/>
        <v>44</v>
      </c>
      <c r="F46">
        <f t="shared" si="0"/>
        <v>37.6</v>
      </c>
      <c r="G46">
        <f t="shared" si="1"/>
        <v>74.400000000000006</v>
      </c>
    </row>
    <row r="47" spans="5:9">
      <c r="E47">
        <f t="shared" si="2"/>
        <v>45</v>
      </c>
      <c r="F47">
        <f t="shared" si="0"/>
        <v>38</v>
      </c>
      <c r="G47">
        <f t="shared" si="1"/>
        <v>74</v>
      </c>
    </row>
    <row r="48" spans="5:9">
      <c r="E48">
        <f t="shared" si="2"/>
        <v>46</v>
      </c>
      <c r="F48">
        <f t="shared" si="0"/>
        <v>38.400000000000006</v>
      </c>
      <c r="G48">
        <f t="shared" si="1"/>
        <v>73.599999999999994</v>
      </c>
    </row>
    <row r="49" spans="5:7">
      <c r="E49">
        <f t="shared" si="2"/>
        <v>47</v>
      </c>
      <c r="F49">
        <f t="shared" si="0"/>
        <v>38.799999999999997</v>
      </c>
      <c r="G49">
        <f t="shared" si="1"/>
        <v>73.2</v>
      </c>
    </row>
    <row r="50" spans="5:7">
      <c r="E50">
        <f t="shared" si="2"/>
        <v>48</v>
      </c>
      <c r="F50">
        <f t="shared" si="0"/>
        <v>39.200000000000003</v>
      </c>
      <c r="G50">
        <f t="shared" si="1"/>
        <v>72.8</v>
      </c>
    </row>
    <row r="51" spans="5:7">
      <c r="E51">
        <f t="shared" si="2"/>
        <v>49</v>
      </c>
      <c r="F51">
        <f t="shared" si="0"/>
        <v>39.6</v>
      </c>
      <c r="G51">
        <f t="shared" si="1"/>
        <v>72.400000000000006</v>
      </c>
    </row>
    <row r="52" spans="5:7">
      <c r="E52">
        <f t="shared" si="2"/>
        <v>50</v>
      </c>
      <c r="F52">
        <f t="shared" si="0"/>
        <v>40</v>
      </c>
      <c r="G52">
        <f t="shared" si="1"/>
        <v>72</v>
      </c>
    </row>
    <row r="53" spans="5:7">
      <c r="E53">
        <f t="shared" si="2"/>
        <v>51</v>
      </c>
      <c r="F53">
        <f t="shared" si="0"/>
        <v>40.400000000000006</v>
      </c>
      <c r="G53">
        <f t="shared" si="1"/>
        <v>71.599999999999994</v>
      </c>
    </row>
    <row r="54" spans="5:7">
      <c r="E54">
        <f t="shared" si="2"/>
        <v>52</v>
      </c>
      <c r="F54">
        <f t="shared" si="0"/>
        <v>40.799999999999997</v>
      </c>
      <c r="G54">
        <f t="shared" si="1"/>
        <v>71.2</v>
      </c>
    </row>
    <row r="55" spans="5:7">
      <c r="E55">
        <f t="shared" si="2"/>
        <v>53</v>
      </c>
      <c r="F55">
        <f t="shared" si="0"/>
        <v>41.2</v>
      </c>
      <c r="G55">
        <f t="shared" si="1"/>
        <v>70.8</v>
      </c>
    </row>
    <row r="56" spans="5:7">
      <c r="E56">
        <f t="shared" si="2"/>
        <v>54</v>
      </c>
      <c r="F56">
        <f t="shared" si="0"/>
        <v>41.6</v>
      </c>
      <c r="G56">
        <f t="shared" si="1"/>
        <v>70.400000000000006</v>
      </c>
    </row>
    <row r="57" spans="5:7">
      <c r="E57">
        <f t="shared" si="2"/>
        <v>55</v>
      </c>
      <c r="F57">
        <f t="shared" si="0"/>
        <v>42</v>
      </c>
      <c r="G57">
        <f t="shared" si="1"/>
        <v>70</v>
      </c>
    </row>
    <row r="58" spans="5:7">
      <c r="E58">
        <f t="shared" si="2"/>
        <v>56</v>
      </c>
      <c r="F58">
        <f t="shared" si="0"/>
        <v>42.400000000000006</v>
      </c>
      <c r="G58">
        <f t="shared" si="1"/>
        <v>69.599999999999994</v>
      </c>
    </row>
    <row r="59" spans="5:7">
      <c r="E59">
        <f t="shared" si="2"/>
        <v>57</v>
      </c>
      <c r="F59">
        <f t="shared" si="0"/>
        <v>42.8</v>
      </c>
      <c r="G59">
        <f t="shared" si="1"/>
        <v>69.2</v>
      </c>
    </row>
    <row r="60" spans="5:7">
      <c r="E60">
        <f t="shared" si="2"/>
        <v>58</v>
      </c>
      <c r="F60">
        <f t="shared" si="0"/>
        <v>43.2</v>
      </c>
      <c r="G60">
        <f t="shared" si="1"/>
        <v>68.8</v>
      </c>
    </row>
    <row r="61" spans="5:7">
      <c r="E61">
        <f t="shared" si="2"/>
        <v>59</v>
      </c>
      <c r="F61">
        <f t="shared" si="0"/>
        <v>43.6</v>
      </c>
      <c r="G61">
        <f t="shared" si="1"/>
        <v>68.400000000000006</v>
      </c>
    </row>
    <row r="62" spans="5:7">
      <c r="E62">
        <f t="shared" si="2"/>
        <v>60</v>
      </c>
      <c r="F62">
        <f t="shared" si="0"/>
        <v>44</v>
      </c>
      <c r="G62">
        <f t="shared" si="1"/>
        <v>68</v>
      </c>
    </row>
    <row r="63" spans="5:7">
      <c r="E63">
        <f t="shared" si="2"/>
        <v>61</v>
      </c>
      <c r="F63">
        <f t="shared" si="0"/>
        <v>44.400000000000006</v>
      </c>
      <c r="G63">
        <f t="shared" si="1"/>
        <v>67.599999999999994</v>
      </c>
    </row>
    <row r="64" spans="5:7">
      <c r="E64">
        <f t="shared" si="2"/>
        <v>62</v>
      </c>
      <c r="F64">
        <f t="shared" si="0"/>
        <v>44.8</v>
      </c>
      <c r="G64">
        <f t="shared" si="1"/>
        <v>67.2</v>
      </c>
    </row>
    <row r="65" spans="5:7">
      <c r="E65">
        <f t="shared" si="2"/>
        <v>63</v>
      </c>
      <c r="F65">
        <f t="shared" si="0"/>
        <v>45.2</v>
      </c>
      <c r="G65">
        <f t="shared" si="1"/>
        <v>66.8</v>
      </c>
    </row>
    <row r="66" spans="5:7">
      <c r="E66">
        <f t="shared" si="2"/>
        <v>64</v>
      </c>
      <c r="F66">
        <f t="shared" si="0"/>
        <v>45.6</v>
      </c>
      <c r="G66">
        <f t="shared" si="1"/>
        <v>66.400000000000006</v>
      </c>
    </row>
    <row r="67" spans="5:7">
      <c r="E67">
        <f t="shared" si="2"/>
        <v>65</v>
      </c>
      <c r="F67">
        <f t="shared" ref="F67:F120" si="3">20+(0.4*E67)</f>
        <v>46</v>
      </c>
      <c r="G67">
        <f t="shared" ref="G67:G120" si="4">92-0.4*(E67)</f>
        <v>66</v>
      </c>
    </row>
    <row r="68" spans="5:7">
      <c r="E68">
        <f t="shared" ref="E68:E120" si="5">E67+1</f>
        <v>66</v>
      </c>
      <c r="F68">
        <f t="shared" si="3"/>
        <v>46.400000000000006</v>
      </c>
      <c r="G68">
        <f t="shared" si="4"/>
        <v>65.599999999999994</v>
      </c>
    </row>
    <row r="69" spans="5:7">
      <c r="E69">
        <f t="shared" si="5"/>
        <v>67</v>
      </c>
      <c r="F69">
        <f t="shared" si="3"/>
        <v>46.8</v>
      </c>
      <c r="G69">
        <f t="shared" si="4"/>
        <v>65.2</v>
      </c>
    </row>
    <row r="70" spans="5:7">
      <c r="E70">
        <f t="shared" si="5"/>
        <v>68</v>
      </c>
      <c r="F70">
        <f t="shared" si="3"/>
        <v>47.2</v>
      </c>
      <c r="G70">
        <f t="shared" si="4"/>
        <v>64.8</v>
      </c>
    </row>
    <row r="71" spans="5:7">
      <c r="E71">
        <f t="shared" si="5"/>
        <v>69</v>
      </c>
      <c r="F71">
        <f t="shared" si="3"/>
        <v>47.6</v>
      </c>
      <c r="G71">
        <f t="shared" si="4"/>
        <v>64.400000000000006</v>
      </c>
    </row>
    <row r="72" spans="5:7">
      <c r="E72">
        <f t="shared" si="5"/>
        <v>70</v>
      </c>
      <c r="F72">
        <f t="shared" si="3"/>
        <v>48</v>
      </c>
      <c r="G72">
        <f t="shared" si="4"/>
        <v>64</v>
      </c>
    </row>
    <row r="73" spans="5:7">
      <c r="E73">
        <f t="shared" si="5"/>
        <v>71</v>
      </c>
      <c r="F73">
        <f t="shared" si="3"/>
        <v>48.400000000000006</v>
      </c>
      <c r="G73">
        <f t="shared" si="4"/>
        <v>63.599999999999994</v>
      </c>
    </row>
    <row r="74" spans="5:7">
      <c r="E74">
        <f t="shared" si="5"/>
        <v>72</v>
      </c>
      <c r="F74">
        <f t="shared" si="3"/>
        <v>48.8</v>
      </c>
      <c r="G74">
        <f t="shared" si="4"/>
        <v>63.2</v>
      </c>
    </row>
    <row r="75" spans="5:7">
      <c r="E75">
        <f t="shared" si="5"/>
        <v>73</v>
      </c>
      <c r="F75">
        <f t="shared" si="3"/>
        <v>49.2</v>
      </c>
      <c r="G75">
        <f t="shared" si="4"/>
        <v>62.8</v>
      </c>
    </row>
    <row r="76" spans="5:7">
      <c r="E76">
        <f t="shared" si="5"/>
        <v>74</v>
      </c>
      <c r="F76">
        <f t="shared" si="3"/>
        <v>49.6</v>
      </c>
      <c r="G76">
        <f t="shared" si="4"/>
        <v>62.4</v>
      </c>
    </row>
    <row r="77" spans="5:7">
      <c r="E77">
        <f t="shared" si="5"/>
        <v>75</v>
      </c>
      <c r="F77">
        <f t="shared" si="3"/>
        <v>50</v>
      </c>
      <c r="G77">
        <f t="shared" si="4"/>
        <v>62</v>
      </c>
    </row>
    <row r="78" spans="5:7">
      <c r="E78">
        <f t="shared" si="5"/>
        <v>76</v>
      </c>
      <c r="F78">
        <f t="shared" si="3"/>
        <v>50.400000000000006</v>
      </c>
      <c r="G78">
        <f t="shared" si="4"/>
        <v>61.599999999999994</v>
      </c>
    </row>
    <row r="79" spans="5:7">
      <c r="E79">
        <f t="shared" si="5"/>
        <v>77</v>
      </c>
      <c r="F79">
        <f t="shared" si="3"/>
        <v>50.8</v>
      </c>
      <c r="G79">
        <f t="shared" si="4"/>
        <v>61.2</v>
      </c>
    </row>
    <row r="80" spans="5:7">
      <c r="E80">
        <f t="shared" si="5"/>
        <v>78</v>
      </c>
      <c r="F80">
        <f t="shared" si="3"/>
        <v>51.2</v>
      </c>
      <c r="G80">
        <f t="shared" si="4"/>
        <v>60.8</v>
      </c>
    </row>
    <row r="81" spans="5:7">
      <c r="E81">
        <f t="shared" si="5"/>
        <v>79</v>
      </c>
      <c r="F81">
        <f t="shared" si="3"/>
        <v>51.6</v>
      </c>
      <c r="G81">
        <f t="shared" si="4"/>
        <v>60.4</v>
      </c>
    </row>
    <row r="82" spans="5:7">
      <c r="E82">
        <f t="shared" si="5"/>
        <v>80</v>
      </c>
      <c r="F82">
        <f t="shared" si="3"/>
        <v>52</v>
      </c>
      <c r="G82">
        <f t="shared" si="4"/>
        <v>60</v>
      </c>
    </row>
    <row r="83" spans="5:7">
      <c r="E83">
        <f t="shared" si="5"/>
        <v>81</v>
      </c>
      <c r="F83">
        <f t="shared" si="3"/>
        <v>52.4</v>
      </c>
      <c r="G83">
        <f t="shared" si="4"/>
        <v>59.6</v>
      </c>
    </row>
    <row r="84" spans="5:7">
      <c r="E84">
        <f t="shared" si="5"/>
        <v>82</v>
      </c>
      <c r="F84">
        <f t="shared" si="3"/>
        <v>52.800000000000004</v>
      </c>
      <c r="G84">
        <f t="shared" si="4"/>
        <v>59.199999999999996</v>
      </c>
    </row>
    <row r="85" spans="5:7">
      <c r="E85">
        <f t="shared" si="5"/>
        <v>83</v>
      </c>
      <c r="F85">
        <f t="shared" si="3"/>
        <v>53.2</v>
      </c>
      <c r="G85">
        <f t="shared" si="4"/>
        <v>58.8</v>
      </c>
    </row>
    <row r="86" spans="5:7">
      <c r="E86">
        <f t="shared" si="5"/>
        <v>84</v>
      </c>
      <c r="F86">
        <f t="shared" si="3"/>
        <v>53.6</v>
      </c>
      <c r="G86">
        <f t="shared" si="4"/>
        <v>58.4</v>
      </c>
    </row>
    <row r="87" spans="5:7">
      <c r="E87">
        <f t="shared" si="5"/>
        <v>85</v>
      </c>
      <c r="F87">
        <f t="shared" si="3"/>
        <v>54</v>
      </c>
      <c r="G87">
        <f t="shared" si="4"/>
        <v>58</v>
      </c>
    </row>
    <row r="88" spans="5:7">
      <c r="E88">
        <f t="shared" si="5"/>
        <v>86</v>
      </c>
      <c r="F88">
        <f t="shared" si="3"/>
        <v>54.4</v>
      </c>
      <c r="G88">
        <f t="shared" si="4"/>
        <v>57.6</v>
      </c>
    </row>
    <row r="89" spans="5:7">
      <c r="E89">
        <f t="shared" si="5"/>
        <v>87</v>
      </c>
      <c r="F89">
        <f t="shared" si="3"/>
        <v>54.800000000000004</v>
      </c>
      <c r="G89">
        <f t="shared" si="4"/>
        <v>57.199999999999996</v>
      </c>
    </row>
    <row r="90" spans="5:7">
      <c r="E90">
        <f t="shared" si="5"/>
        <v>88</v>
      </c>
      <c r="F90">
        <f t="shared" si="3"/>
        <v>55.2</v>
      </c>
      <c r="G90">
        <f t="shared" si="4"/>
        <v>56.8</v>
      </c>
    </row>
    <row r="91" spans="5:7">
      <c r="E91">
        <f t="shared" si="5"/>
        <v>89</v>
      </c>
      <c r="F91">
        <f t="shared" si="3"/>
        <v>55.6</v>
      </c>
      <c r="G91">
        <f t="shared" si="4"/>
        <v>56.4</v>
      </c>
    </row>
    <row r="92" spans="5:7">
      <c r="E92">
        <f t="shared" si="5"/>
        <v>90</v>
      </c>
      <c r="F92">
        <f t="shared" si="3"/>
        <v>56</v>
      </c>
      <c r="G92">
        <f t="shared" si="4"/>
        <v>56</v>
      </c>
    </row>
    <row r="93" spans="5:7">
      <c r="E93">
        <f t="shared" si="5"/>
        <v>91</v>
      </c>
      <c r="F93">
        <f t="shared" si="3"/>
        <v>56.4</v>
      </c>
      <c r="G93">
        <f t="shared" si="4"/>
        <v>55.6</v>
      </c>
    </row>
    <row r="94" spans="5:7">
      <c r="E94">
        <f t="shared" si="5"/>
        <v>92</v>
      </c>
      <c r="F94">
        <f t="shared" si="3"/>
        <v>56.800000000000004</v>
      </c>
      <c r="G94">
        <f t="shared" si="4"/>
        <v>55.199999999999996</v>
      </c>
    </row>
    <row r="95" spans="5:7">
      <c r="E95">
        <f t="shared" si="5"/>
        <v>93</v>
      </c>
      <c r="F95">
        <f t="shared" si="3"/>
        <v>57.2</v>
      </c>
      <c r="G95">
        <f t="shared" si="4"/>
        <v>54.8</v>
      </c>
    </row>
    <row r="96" spans="5:7">
      <c r="E96">
        <f t="shared" si="5"/>
        <v>94</v>
      </c>
      <c r="F96">
        <f t="shared" si="3"/>
        <v>57.6</v>
      </c>
      <c r="G96">
        <f t="shared" si="4"/>
        <v>54.4</v>
      </c>
    </row>
    <row r="97" spans="5:7">
      <c r="E97">
        <f t="shared" si="5"/>
        <v>95</v>
      </c>
      <c r="F97">
        <f t="shared" si="3"/>
        <v>58</v>
      </c>
      <c r="G97">
        <f t="shared" si="4"/>
        <v>54</v>
      </c>
    </row>
    <row r="98" spans="5:7">
      <c r="E98">
        <f t="shared" si="5"/>
        <v>96</v>
      </c>
      <c r="F98">
        <f t="shared" si="3"/>
        <v>58.400000000000006</v>
      </c>
      <c r="G98">
        <f t="shared" si="4"/>
        <v>53.599999999999994</v>
      </c>
    </row>
    <row r="99" spans="5:7">
      <c r="E99">
        <f t="shared" si="5"/>
        <v>97</v>
      </c>
      <c r="F99">
        <f t="shared" si="3"/>
        <v>58.800000000000004</v>
      </c>
      <c r="G99">
        <f t="shared" si="4"/>
        <v>53.199999999999996</v>
      </c>
    </row>
    <row r="100" spans="5:7">
      <c r="E100">
        <f t="shared" si="5"/>
        <v>98</v>
      </c>
      <c r="F100">
        <f t="shared" si="3"/>
        <v>59.2</v>
      </c>
      <c r="G100">
        <f t="shared" si="4"/>
        <v>52.8</v>
      </c>
    </row>
    <row r="101" spans="5:7">
      <c r="E101">
        <f t="shared" si="5"/>
        <v>99</v>
      </c>
      <c r="F101">
        <f t="shared" si="3"/>
        <v>59.6</v>
      </c>
      <c r="G101">
        <f t="shared" si="4"/>
        <v>52.4</v>
      </c>
    </row>
    <row r="102" spans="5:7">
      <c r="E102">
        <f t="shared" si="5"/>
        <v>100</v>
      </c>
      <c r="F102">
        <f t="shared" si="3"/>
        <v>60</v>
      </c>
      <c r="G102">
        <f t="shared" si="4"/>
        <v>52</v>
      </c>
    </row>
    <row r="103" spans="5:7">
      <c r="E103">
        <f t="shared" si="5"/>
        <v>101</v>
      </c>
      <c r="F103">
        <f t="shared" si="3"/>
        <v>60.400000000000006</v>
      </c>
      <c r="G103">
        <f t="shared" si="4"/>
        <v>51.599999999999994</v>
      </c>
    </row>
    <row r="104" spans="5:7">
      <c r="E104">
        <f t="shared" si="5"/>
        <v>102</v>
      </c>
      <c r="F104">
        <f t="shared" si="3"/>
        <v>60.800000000000004</v>
      </c>
      <c r="G104">
        <f t="shared" si="4"/>
        <v>51.199999999999996</v>
      </c>
    </row>
    <row r="105" spans="5:7">
      <c r="E105">
        <f t="shared" si="5"/>
        <v>103</v>
      </c>
      <c r="F105">
        <f t="shared" si="3"/>
        <v>61.2</v>
      </c>
      <c r="G105">
        <f t="shared" si="4"/>
        <v>50.8</v>
      </c>
    </row>
    <row r="106" spans="5:7">
      <c r="E106">
        <f t="shared" si="5"/>
        <v>104</v>
      </c>
      <c r="F106">
        <f t="shared" si="3"/>
        <v>61.6</v>
      </c>
      <c r="G106">
        <f t="shared" si="4"/>
        <v>50.4</v>
      </c>
    </row>
    <row r="107" spans="5:7">
      <c r="E107">
        <f t="shared" si="5"/>
        <v>105</v>
      </c>
      <c r="F107">
        <f t="shared" si="3"/>
        <v>62</v>
      </c>
      <c r="G107">
        <f t="shared" si="4"/>
        <v>50</v>
      </c>
    </row>
    <row r="108" spans="5:7">
      <c r="E108">
        <f t="shared" si="5"/>
        <v>106</v>
      </c>
      <c r="F108">
        <f t="shared" si="3"/>
        <v>62.400000000000006</v>
      </c>
      <c r="G108">
        <f t="shared" si="4"/>
        <v>49.599999999999994</v>
      </c>
    </row>
    <row r="109" spans="5:7">
      <c r="E109">
        <f t="shared" si="5"/>
        <v>107</v>
      </c>
      <c r="F109">
        <f t="shared" si="3"/>
        <v>62.800000000000004</v>
      </c>
      <c r="G109">
        <f t="shared" si="4"/>
        <v>49.199999999999996</v>
      </c>
    </row>
    <row r="110" spans="5:7">
      <c r="E110">
        <f t="shared" si="5"/>
        <v>108</v>
      </c>
      <c r="F110">
        <f t="shared" si="3"/>
        <v>63.2</v>
      </c>
      <c r="G110">
        <f t="shared" si="4"/>
        <v>48.8</v>
      </c>
    </row>
    <row r="111" spans="5:7">
      <c r="E111">
        <f t="shared" si="5"/>
        <v>109</v>
      </c>
      <c r="F111">
        <f t="shared" si="3"/>
        <v>63.6</v>
      </c>
      <c r="G111">
        <f t="shared" si="4"/>
        <v>48.4</v>
      </c>
    </row>
    <row r="112" spans="5:7">
      <c r="E112">
        <f t="shared" si="5"/>
        <v>110</v>
      </c>
      <c r="F112">
        <f t="shared" si="3"/>
        <v>64</v>
      </c>
      <c r="G112">
        <f t="shared" si="4"/>
        <v>48</v>
      </c>
    </row>
    <row r="113" spans="5:7">
      <c r="E113">
        <f t="shared" si="5"/>
        <v>111</v>
      </c>
      <c r="F113">
        <f t="shared" si="3"/>
        <v>64.400000000000006</v>
      </c>
      <c r="G113">
        <f t="shared" si="4"/>
        <v>47.599999999999994</v>
      </c>
    </row>
    <row r="114" spans="5:7">
      <c r="E114">
        <f t="shared" si="5"/>
        <v>112</v>
      </c>
      <c r="F114">
        <f t="shared" si="3"/>
        <v>64.800000000000011</v>
      </c>
      <c r="G114">
        <f t="shared" si="4"/>
        <v>47.199999999999996</v>
      </c>
    </row>
    <row r="115" spans="5:7">
      <c r="E115">
        <f t="shared" si="5"/>
        <v>113</v>
      </c>
      <c r="F115">
        <f t="shared" si="3"/>
        <v>65.2</v>
      </c>
      <c r="G115">
        <f t="shared" si="4"/>
        <v>46.8</v>
      </c>
    </row>
    <row r="116" spans="5:7">
      <c r="E116">
        <f t="shared" si="5"/>
        <v>114</v>
      </c>
      <c r="F116">
        <f t="shared" si="3"/>
        <v>65.599999999999994</v>
      </c>
      <c r="G116">
        <f t="shared" si="4"/>
        <v>46.4</v>
      </c>
    </row>
    <row r="117" spans="5:7">
      <c r="E117">
        <f t="shared" si="5"/>
        <v>115</v>
      </c>
      <c r="F117">
        <f t="shared" si="3"/>
        <v>66</v>
      </c>
      <c r="G117">
        <f t="shared" si="4"/>
        <v>46</v>
      </c>
    </row>
    <row r="118" spans="5:7">
      <c r="E118">
        <f t="shared" si="5"/>
        <v>116</v>
      </c>
      <c r="F118">
        <f t="shared" si="3"/>
        <v>66.400000000000006</v>
      </c>
      <c r="G118">
        <f t="shared" si="4"/>
        <v>45.599999999999994</v>
      </c>
    </row>
    <row r="119" spans="5:7">
      <c r="E119">
        <f t="shared" si="5"/>
        <v>117</v>
      </c>
      <c r="F119">
        <f t="shared" si="3"/>
        <v>66.800000000000011</v>
      </c>
      <c r="G119">
        <f t="shared" si="4"/>
        <v>45.199999999999996</v>
      </c>
    </row>
    <row r="120" spans="5:7">
      <c r="E120">
        <f t="shared" si="5"/>
        <v>118</v>
      </c>
      <c r="F120">
        <f t="shared" si="3"/>
        <v>67.2</v>
      </c>
      <c r="G120">
        <f t="shared" si="4"/>
        <v>44.8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BC92-3EA9-4103-BE8D-759379ECF3A3}">
  <dimension ref="A1:E40"/>
  <sheetViews>
    <sheetView workbookViewId="0">
      <selection activeCell="E14" sqref="E14"/>
    </sheetView>
  </sheetViews>
  <sheetFormatPr defaultRowHeight="15"/>
  <sheetData>
    <row r="1" spans="1:5">
      <c r="A1" t="s">
        <v>14</v>
      </c>
    </row>
    <row r="2" spans="1:5">
      <c r="C2" t="s">
        <v>15</v>
      </c>
      <c r="D2">
        <v>10</v>
      </c>
    </row>
    <row r="4" spans="1:5">
      <c r="A4" s="1" t="s">
        <v>1</v>
      </c>
      <c r="B4" s="1" t="s">
        <v>16</v>
      </c>
      <c r="C4" s="1" t="s">
        <v>17</v>
      </c>
      <c r="D4" s="1"/>
      <c r="E4" s="1" t="s">
        <v>18</v>
      </c>
    </row>
    <row r="5" spans="1:5">
      <c r="A5" s="1">
        <v>0</v>
      </c>
      <c r="B5" s="1">
        <f>10*A5</f>
        <v>0</v>
      </c>
      <c r="C5" s="1">
        <v>10</v>
      </c>
      <c r="D5" s="1"/>
      <c r="E5" s="1">
        <f>B5-C5</f>
        <v>-10</v>
      </c>
    </row>
    <row r="6" spans="1:5">
      <c r="A6" s="1">
        <f>A5+1</f>
        <v>1</v>
      </c>
      <c r="B6" s="1">
        <f t="shared" ref="B6:B10" si="0">10*A6</f>
        <v>10</v>
      </c>
      <c r="C6" s="1">
        <v>11</v>
      </c>
      <c r="D6" s="1"/>
      <c r="E6" s="1">
        <f t="shared" ref="E6:E10" si="1">B6-C6</f>
        <v>-1</v>
      </c>
    </row>
    <row r="7" spans="1:5">
      <c r="A7" s="1">
        <f t="shared" ref="A7:A10" si="2">A6+1</f>
        <v>2</v>
      </c>
      <c r="B7" s="1">
        <f t="shared" si="0"/>
        <v>20</v>
      </c>
      <c r="C7" s="1">
        <v>14</v>
      </c>
      <c r="D7" s="1"/>
      <c r="E7" s="1">
        <f t="shared" si="1"/>
        <v>6</v>
      </c>
    </row>
    <row r="8" spans="1:5">
      <c r="A8" s="1">
        <f t="shared" si="2"/>
        <v>3</v>
      </c>
      <c r="B8" s="1">
        <f t="shared" si="0"/>
        <v>30</v>
      </c>
      <c r="C8" s="1">
        <v>19</v>
      </c>
      <c r="D8" s="1"/>
      <c r="E8" s="1">
        <f t="shared" si="1"/>
        <v>11</v>
      </c>
    </row>
    <row r="9" spans="1:5">
      <c r="A9" s="1">
        <f t="shared" si="2"/>
        <v>4</v>
      </c>
      <c r="B9" s="1">
        <f t="shared" si="0"/>
        <v>40</v>
      </c>
      <c r="C9" s="1">
        <v>35</v>
      </c>
      <c r="D9" s="1"/>
      <c r="E9" s="1">
        <f t="shared" si="1"/>
        <v>5</v>
      </c>
    </row>
    <row r="10" spans="1:5">
      <c r="A10" s="1">
        <f t="shared" si="2"/>
        <v>5</v>
      </c>
      <c r="B10" s="1">
        <f t="shared" si="0"/>
        <v>50</v>
      </c>
      <c r="C10" s="1">
        <v>60</v>
      </c>
      <c r="D10" s="1"/>
      <c r="E10" s="1">
        <f t="shared" si="1"/>
        <v>-10</v>
      </c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t="s">
        <v>19</v>
      </c>
      <c r="E13" s="1">
        <f>MAX(E5:E10)</f>
        <v>11</v>
      </c>
    </row>
    <row r="14" spans="1:5">
      <c r="A14" s="1"/>
      <c r="B14" s="1"/>
      <c r="C14" s="1"/>
      <c r="D14" t="s">
        <v>20</v>
      </c>
      <c r="E14">
        <f ca="1">OFFSET($D$2,MATCH(E13,$E$5:$E$10,0),0)</f>
        <v>0</v>
      </c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696F-6CCE-4789-A26C-FFACE99D8DE1}">
  <dimension ref="A1:F18"/>
  <sheetViews>
    <sheetView workbookViewId="0">
      <selection activeCell="F24" sqref="F24"/>
    </sheetView>
  </sheetViews>
  <sheetFormatPr defaultRowHeight="15"/>
  <sheetData>
    <row r="1" spans="1:6">
      <c r="A1" t="s">
        <v>21</v>
      </c>
      <c r="F1" t="s">
        <v>22</v>
      </c>
    </row>
    <row r="2" spans="1:6">
      <c r="A2" t="s">
        <v>23</v>
      </c>
      <c r="F2">
        <v>10</v>
      </c>
    </row>
    <row r="3" spans="1:6">
      <c r="F3">
        <v>2</v>
      </c>
    </row>
    <row r="4" spans="1:6">
      <c r="F4">
        <v>3</v>
      </c>
    </row>
    <row r="5" spans="1:6">
      <c r="A5" t="s">
        <v>1</v>
      </c>
      <c r="B5" t="s">
        <v>16</v>
      </c>
      <c r="C5" t="s">
        <v>17</v>
      </c>
      <c r="E5" t="s">
        <v>18</v>
      </c>
      <c r="F5">
        <v>4</v>
      </c>
    </row>
    <row r="6" spans="1:6">
      <c r="A6" s="1">
        <v>0</v>
      </c>
      <c r="B6" s="1">
        <f>3*A6</f>
        <v>0</v>
      </c>
      <c r="C6" s="1">
        <f>F$2+(3/200)*A6^(5/2)</f>
        <v>10</v>
      </c>
      <c r="E6" s="1">
        <f>B6-C6</f>
        <v>-10</v>
      </c>
    </row>
    <row r="7" spans="1:6">
      <c r="A7" s="1">
        <f>A6+1</f>
        <v>1</v>
      </c>
      <c r="B7" s="1">
        <f t="shared" ref="B7:B11" si="0">3*A7</f>
        <v>3</v>
      </c>
      <c r="C7" s="1">
        <f>F$2+(3/200)*A7^(5/2)</f>
        <v>10.015000000000001</v>
      </c>
      <c r="E7" s="1">
        <f t="shared" ref="E7:E11" si="1">B7-C7</f>
        <v>-7.0150000000000006</v>
      </c>
    </row>
    <row r="8" spans="1:6">
      <c r="A8" s="1">
        <f t="shared" ref="A8:A11" si="2">A7+1</f>
        <v>2</v>
      </c>
      <c r="B8" s="1">
        <f t="shared" si="0"/>
        <v>6</v>
      </c>
      <c r="C8" s="1">
        <f t="shared" ref="C7:C11" si="3">F$2+(3/200)*A8^(5/2)</f>
        <v>10.084852813742385</v>
      </c>
      <c r="E8" s="1">
        <f t="shared" si="1"/>
        <v>-4.0848528137423852</v>
      </c>
    </row>
    <row r="9" spans="1:6">
      <c r="A9" s="1">
        <f t="shared" si="2"/>
        <v>3</v>
      </c>
      <c r="B9" s="1">
        <f t="shared" si="0"/>
        <v>9</v>
      </c>
      <c r="C9" s="1">
        <f t="shared" si="3"/>
        <v>10.233826859021798</v>
      </c>
      <c r="E9" s="1">
        <f t="shared" si="1"/>
        <v>-1.2338268590217982</v>
      </c>
    </row>
    <row r="10" spans="1:6">
      <c r="A10" s="1">
        <f t="shared" si="2"/>
        <v>4</v>
      </c>
      <c r="B10" s="1">
        <f t="shared" si="0"/>
        <v>12</v>
      </c>
      <c r="C10" s="1">
        <f>F$2+(3/200)*A10^(5/2)</f>
        <v>10.48</v>
      </c>
      <c r="E10" s="1">
        <f t="shared" si="1"/>
        <v>1.5199999999999996</v>
      </c>
    </row>
    <row r="11" spans="1:6">
      <c r="A11" s="1">
        <f t="shared" si="2"/>
        <v>5</v>
      </c>
      <c r="B11" s="1">
        <f t="shared" si="0"/>
        <v>15</v>
      </c>
      <c r="C11" s="1">
        <f t="shared" si="3"/>
        <v>10.838525491562422</v>
      </c>
      <c r="E11" s="1">
        <f t="shared" si="1"/>
        <v>4.1614745084375784</v>
      </c>
    </row>
    <row r="14" spans="1:6">
      <c r="C14" t="s">
        <v>24</v>
      </c>
      <c r="D14" s="1">
        <f>MAX(E6:E11)</f>
        <v>4.1614745084375784</v>
      </c>
    </row>
    <row r="15" spans="1:6">
      <c r="C15" t="s">
        <v>20</v>
      </c>
      <c r="D15">
        <f ca="1">OFFSET(F2,MATCH(D$14,E$6:E$11,0),0)</f>
        <v>0</v>
      </c>
    </row>
    <row r="16" spans="1:6">
      <c r="D16">
        <f t="shared" ref="D16:D19" ca="1" si="4">OFFSET(F3,MATCH(D$14,E$6:E$11,0),0)</f>
        <v>0</v>
      </c>
    </row>
    <row r="17" spans="4:4">
      <c r="D17">
        <f t="shared" ca="1" si="4"/>
        <v>0</v>
      </c>
    </row>
    <row r="18" spans="4:4">
      <c r="D18">
        <f t="shared" ca="1" si="4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97F3-82F8-4F8D-A3B8-4B675535886A}">
  <dimension ref="A1:C12"/>
  <sheetViews>
    <sheetView workbookViewId="0">
      <selection activeCell="Q36" sqref="Q36"/>
    </sheetView>
  </sheetViews>
  <sheetFormatPr defaultRowHeight="15"/>
  <sheetData>
    <row r="1" spans="1:3">
      <c r="A1" t="s">
        <v>25</v>
      </c>
    </row>
    <row r="2" spans="1:3">
      <c r="A2" t="s">
        <v>26</v>
      </c>
    </row>
    <row r="4" spans="1:3">
      <c r="A4" t="s">
        <v>1</v>
      </c>
      <c r="B4" t="s">
        <v>16</v>
      </c>
      <c r="C4" t="s">
        <v>17</v>
      </c>
    </row>
    <row r="5" spans="1:3">
      <c r="A5">
        <v>0</v>
      </c>
      <c r="B5">
        <f>A5*4</f>
        <v>0</v>
      </c>
      <c r="C5">
        <f>15+(1/100)*A5^3</f>
        <v>15</v>
      </c>
    </row>
    <row r="6" spans="1:3">
      <c r="A6">
        <f>A5+1</f>
        <v>1</v>
      </c>
      <c r="B6">
        <f t="shared" ref="B6:B9" si="0">A6*4</f>
        <v>4</v>
      </c>
      <c r="C6">
        <f t="shared" ref="C6:C9" si="1">15+(1/100)*A6^3</f>
        <v>15.01</v>
      </c>
    </row>
    <row r="7" spans="1:3">
      <c r="A7">
        <f t="shared" ref="A7:A9" si="2">A6+1</f>
        <v>2</v>
      </c>
      <c r="B7">
        <f t="shared" si="0"/>
        <v>8</v>
      </c>
      <c r="C7">
        <f t="shared" si="1"/>
        <v>15.08</v>
      </c>
    </row>
    <row r="8" spans="1:3">
      <c r="A8">
        <f t="shared" si="2"/>
        <v>3</v>
      </c>
      <c r="B8">
        <f t="shared" si="0"/>
        <v>12</v>
      </c>
      <c r="C8">
        <f t="shared" si="1"/>
        <v>15.27</v>
      </c>
    </row>
    <row r="9" spans="1:3">
      <c r="A9">
        <f t="shared" si="2"/>
        <v>4</v>
      </c>
      <c r="B9">
        <f t="shared" si="0"/>
        <v>16</v>
      </c>
      <c r="C9">
        <f t="shared" si="1"/>
        <v>15.64</v>
      </c>
    </row>
    <row r="12" spans="1:3">
      <c r="A12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2026-10-13T18:00:38Z</dcterms:created>
  <dcterms:modified xsi:type="dcterms:W3CDTF">2026-10-13T20:04:43Z</dcterms:modified>
  <cp:category/>
  <cp:contentStatus/>
</cp:coreProperties>
</file>