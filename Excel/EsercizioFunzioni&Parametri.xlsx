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IZZI\Desktop\"/>
    </mc:Choice>
  </mc:AlternateContent>
  <xr:revisionPtr revIDLastSave="0" documentId="8_{4F4A4391-BB29-4B41-B505-0971DCAFCA7E}" xr6:coauthVersionLast="47" xr6:coauthVersionMax="47" xr10:uidLastSave="{00000000-0000-0000-0000-000000000000}"/>
  <bookViews>
    <workbookView xWindow="0" yWindow="0" windowWidth="23040" windowHeight="10380" xr2:uid="{9491048D-376E-4501-A155-95BBE2FC883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 l="1"/>
  <c r="D7" i="1"/>
  <c r="C7" i="1"/>
  <c r="B7" i="1"/>
  <c r="C6" i="1"/>
  <c r="D6" i="1"/>
  <c r="B6" i="1"/>
  <c r="A9" i="1" l="1"/>
  <c r="D8" i="1"/>
  <c r="C8" i="1"/>
  <c r="B8" i="1"/>
  <c r="A10" i="1" l="1"/>
  <c r="D9" i="1"/>
  <c r="C9" i="1"/>
  <c r="B9" i="1"/>
  <c r="A11" i="1" l="1"/>
  <c r="D10" i="1"/>
  <c r="C10" i="1"/>
  <c r="B10" i="1"/>
  <c r="A12" i="1" l="1"/>
  <c r="D11" i="1"/>
  <c r="C11" i="1"/>
  <c r="B11" i="1"/>
  <c r="A13" i="1" l="1"/>
  <c r="D12" i="1"/>
  <c r="C12" i="1"/>
  <c r="B12" i="1"/>
  <c r="A14" i="1" l="1"/>
  <c r="D13" i="1"/>
  <c r="C13" i="1"/>
  <c r="B13" i="1"/>
  <c r="A15" i="1" l="1"/>
  <c r="D14" i="1"/>
  <c r="C14" i="1"/>
  <c r="B14" i="1"/>
  <c r="A16" i="1" l="1"/>
  <c r="D15" i="1"/>
  <c r="C15" i="1"/>
  <c r="B15" i="1"/>
  <c r="A17" i="1" l="1"/>
  <c r="D16" i="1"/>
  <c r="C16" i="1"/>
  <c r="B16" i="1"/>
  <c r="A18" i="1" l="1"/>
  <c r="D17" i="1"/>
  <c r="C17" i="1"/>
  <c r="B17" i="1"/>
  <c r="A19" i="1" l="1"/>
  <c r="D18" i="1"/>
  <c r="C18" i="1"/>
  <c r="B18" i="1"/>
  <c r="A20" i="1" l="1"/>
  <c r="D19" i="1"/>
  <c r="C19" i="1"/>
  <c r="B19" i="1"/>
  <c r="A21" i="1" l="1"/>
  <c r="D20" i="1"/>
  <c r="C20" i="1"/>
  <c r="B20" i="1"/>
  <c r="A22" i="1" l="1"/>
  <c r="D21" i="1"/>
  <c r="C21" i="1"/>
  <c r="B21" i="1"/>
  <c r="A23" i="1" l="1"/>
  <c r="D22" i="1"/>
  <c r="C22" i="1"/>
  <c r="B22" i="1"/>
  <c r="A24" i="1" l="1"/>
  <c r="D23" i="1"/>
  <c r="C23" i="1"/>
  <c r="B23" i="1"/>
  <c r="A25" i="1" l="1"/>
  <c r="D24" i="1"/>
  <c r="C24" i="1"/>
  <c r="B24" i="1"/>
  <c r="A26" i="1" l="1"/>
  <c r="D25" i="1"/>
  <c r="C25" i="1"/>
  <c r="B25" i="1"/>
  <c r="A27" i="1" l="1"/>
  <c r="D26" i="1"/>
  <c r="C26" i="1"/>
  <c r="B26" i="1"/>
  <c r="A28" i="1" l="1"/>
  <c r="D27" i="1"/>
  <c r="C27" i="1"/>
  <c r="B27" i="1"/>
  <c r="A29" i="1" l="1"/>
  <c r="D28" i="1"/>
  <c r="C28" i="1"/>
  <c r="B28" i="1"/>
  <c r="A30" i="1" l="1"/>
  <c r="D29" i="1"/>
  <c r="C29" i="1"/>
  <c r="B29" i="1"/>
  <c r="D30" i="1" l="1"/>
  <c r="C30" i="1"/>
  <c r="B30" i="1"/>
  <c r="A31" i="1"/>
  <c r="A32" i="1" l="1"/>
  <c r="D31" i="1"/>
  <c r="C31" i="1"/>
  <c r="B31" i="1"/>
  <c r="A33" i="1" l="1"/>
  <c r="D32" i="1"/>
  <c r="C32" i="1"/>
  <c r="B32" i="1"/>
  <c r="A34" i="1" l="1"/>
  <c r="D33" i="1"/>
  <c r="C33" i="1"/>
  <c r="B33" i="1"/>
  <c r="A35" i="1" l="1"/>
  <c r="D34" i="1"/>
  <c r="C34" i="1"/>
  <c r="B34" i="1"/>
  <c r="A36" i="1" l="1"/>
  <c r="D35" i="1"/>
  <c r="C35" i="1"/>
  <c r="B35" i="1"/>
  <c r="A37" i="1" l="1"/>
  <c r="D36" i="1"/>
  <c r="C36" i="1"/>
  <c r="B36" i="1"/>
  <c r="A38" i="1" l="1"/>
  <c r="D37" i="1"/>
  <c r="C37" i="1"/>
  <c r="B37" i="1"/>
  <c r="A39" i="1" l="1"/>
  <c r="D38" i="1"/>
  <c r="C38" i="1"/>
  <c r="B38" i="1"/>
  <c r="A40" i="1" l="1"/>
  <c r="D39" i="1"/>
  <c r="C39" i="1"/>
  <c r="B39" i="1"/>
  <c r="A41" i="1" l="1"/>
  <c r="D40" i="1"/>
  <c r="C40" i="1"/>
  <c r="B40" i="1"/>
  <c r="A42" i="1" l="1"/>
  <c r="D41" i="1"/>
  <c r="C41" i="1"/>
  <c r="B41" i="1"/>
  <c r="A43" i="1" l="1"/>
  <c r="D42" i="1"/>
  <c r="C42" i="1"/>
  <c r="B42" i="1"/>
  <c r="A44" i="1" l="1"/>
  <c r="D43" i="1"/>
  <c r="C43" i="1"/>
  <c r="B43" i="1"/>
  <c r="A45" i="1" l="1"/>
  <c r="D44" i="1"/>
  <c r="C44" i="1"/>
  <c r="B44" i="1"/>
  <c r="A46" i="1" l="1"/>
  <c r="D45" i="1"/>
  <c r="C45" i="1"/>
  <c r="B45" i="1"/>
  <c r="A47" i="1" l="1"/>
  <c r="D46" i="1"/>
  <c r="C46" i="1"/>
  <c r="B46" i="1"/>
  <c r="A48" i="1" l="1"/>
  <c r="D47" i="1"/>
  <c r="C47" i="1"/>
  <c r="B47" i="1"/>
  <c r="A49" i="1" l="1"/>
  <c r="D48" i="1"/>
  <c r="C48" i="1"/>
  <c r="B48" i="1"/>
  <c r="A50" i="1" l="1"/>
  <c r="D49" i="1"/>
  <c r="C49" i="1"/>
  <c r="B49" i="1"/>
  <c r="D50" i="1" l="1"/>
  <c r="C50" i="1"/>
  <c r="B50" i="1"/>
  <c r="A51" i="1"/>
  <c r="D51" i="1" l="1"/>
  <c r="C51" i="1"/>
  <c r="B51" i="1"/>
  <c r="A52" i="1"/>
  <c r="D52" i="1" l="1"/>
  <c r="C52" i="1"/>
  <c r="B52" i="1"/>
  <c r="A53" i="1"/>
  <c r="D53" i="1" l="1"/>
  <c r="C53" i="1"/>
  <c r="B53" i="1"/>
  <c r="A54" i="1"/>
  <c r="D54" i="1" l="1"/>
  <c r="C54" i="1"/>
  <c r="B54" i="1"/>
  <c r="A55" i="1"/>
  <c r="D55" i="1" l="1"/>
  <c r="C55" i="1"/>
  <c r="B55" i="1"/>
  <c r="A56" i="1"/>
  <c r="D56" i="1" l="1"/>
  <c r="C56" i="1"/>
  <c r="B56" i="1"/>
</calcChain>
</file>

<file path=xl/sharedStrings.xml><?xml version="1.0" encoding="utf-8"?>
<sst xmlns="http://schemas.openxmlformats.org/spreadsheetml/2006/main" count="23" uniqueCount="14">
  <si>
    <t>min</t>
  </si>
  <si>
    <t>MAX</t>
  </si>
  <si>
    <t>N</t>
  </si>
  <si>
    <t>FUNZIONI</t>
  </si>
  <si>
    <t>y</t>
  </si>
  <si>
    <t>=</t>
  </si>
  <si>
    <t>a</t>
  </si>
  <si>
    <t>x</t>
  </si>
  <si>
    <t>y'</t>
  </si>
  <si>
    <t>y''</t>
  </si>
  <si>
    <t>y'''</t>
  </si>
  <si>
    <t>x^2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</si>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</sst>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4" xfId="0" quotePrefix="1" applyFill="1" applyBorder="1" applyAlignment="1">
      <alignment horizontal="center"/>
    </xf>
    <xf numFmtId="0" fontId="0" fillId="8" borderId="0" xfId="0" quotePrefix="1" applyFill="1" applyBorder="1" applyAlignment="1">
      <alignment horizontal="center"/>
    </xf>
    <xf numFmtId="0" fontId="0" fillId="8" borderId="5" xfId="0" quotePrefix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/>
    <xf numFmtId="2" fontId="0" fillId="0" borderId="0" xfId="0" applyNumberFormat="1" applyFill="1" applyBorder="1"/>
    <xf numFmtId="0" fontId="0" fillId="7" borderId="3" xfId="0" applyNumberForma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Foglio1!$B$5</c:f>
              <c:strCache>
                <c:ptCount val="1"/>
                <c:pt idx="0">
                  <c:v>y'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Foglio1!$A$6:$A$56</c:f>
              <c:numCache>
                <c:formatCode>0.00</c:formatCode>
                <c:ptCount val="51"/>
                <c:pt idx="0">
                  <c:v>-10</c:v>
                </c:pt>
                <c:pt idx="1">
                  <c:v>-9.6</c:v>
                </c:pt>
                <c:pt idx="2">
                  <c:v>-9.1999999999999993</c:v>
                </c:pt>
                <c:pt idx="3">
                  <c:v>-8.7999999999999989</c:v>
                </c:pt>
                <c:pt idx="4">
                  <c:v>-8.3999999999999986</c:v>
                </c:pt>
                <c:pt idx="5">
                  <c:v>-7.9999999999999982</c:v>
                </c:pt>
                <c:pt idx="6">
                  <c:v>-7.5999999999999979</c:v>
                </c:pt>
                <c:pt idx="7">
                  <c:v>-7.1999999999999975</c:v>
                </c:pt>
                <c:pt idx="8">
                  <c:v>-6.7999999999999972</c:v>
                </c:pt>
                <c:pt idx="9">
                  <c:v>-6.3999999999999968</c:v>
                </c:pt>
                <c:pt idx="10">
                  <c:v>-5.9999999999999964</c:v>
                </c:pt>
                <c:pt idx="11">
                  <c:v>-5.5999999999999961</c:v>
                </c:pt>
                <c:pt idx="12">
                  <c:v>-5.1999999999999957</c:v>
                </c:pt>
                <c:pt idx="13">
                  <c:v>-4.7999999999999954</c:v>
                </c:pt>
                <c:pt idx="14">
                  <c:v>-4.399999999999995</c:v>
                </c:pt>
                <c:pt idx="15">
                  <c:v>-3.9999999999999951</c:v>
                </c:pt>
                <c:pt idx="16">
                  <c:v>-3.5999999999999952</c:v>
                </c:pt>
                <c:pt idx="17">
                  <c:v>-3.1999999999999953</c:v>
                </c:pt>
                <c:pt idx="18">
                  <c:v>-2.7999999999999954</c:v>
                </c:pt>
                <c:pt idx="19">
                  <c:v>-2.3999999999999955</c:v>
                </c:pt>
                <c:pt idx="20">
                  <c:v>-1.9999999999999956</c:v>
                </c:pt>
                <c:pt idx="21">
                  <c:v>-1.5999999999999956</c:v>
                </c:pt>
                <c:pt idx="22">
                  <c:v>-1.1999999999999957</c:v>
                </c:pt>
                <c:pt idx="23">
                  <c:v>-0.79999999999999571</c:v>
                </c:pt>
                <c:pt idx="24">
                  <c:v>-0.39999999999999569</c:v>
                </c:pt>
                <c:pt idx="25">
                  <c:v>4.3298697960381105E-15</c:v>
                </c:pt>
                <c:pt idx="26">
                  <c:v>0.40000000000000435</c:v>
                </c:pt>
                <c:pt idx="27">
                  <c:v>0.80000000000000437</c:v>
                </c:pt>
                <c:pt idx="28">
                  <c:v>1.2000000000000044</c:v>
                </c:pt>
                <c:pt idx="29">
                  <c:v>1.6000000000000045</c:v>
                </c:pt>
                <c:pt idx="30">
                  <c:v>2.0000000000000044</c:v>
                </c:pt>
                <c:pt idx="31">
                  <c:v>2.4000000000000044</c:v>
                </c:pt>
                <c:pt idx="32">
                  <c:v>2.8000000000000043</c:v>
                </c:pt>
                <c:pt idx="33">
                  <c:v>3.2000000000000042</c:v>
                </c:pt>
                <c:pt idx="34">
                  <c:v>3.6000000000000041</c:v>
                </c:pt>
                <c:pt idx="35">
                  <c:v>4.0000000000000044</c:v>
                </c:pt>
                <c:pt idx="36">
                  <c:v>4.4000000000000048</c:v>
                </c:pt>
                <c:pt idx="37">
                  <c:v>4.8000000000000052</c:v>
                </c:pt>
                <c:pt idx="38">
                  <c:v>5.2000000000000055</c:v>
                </c:pt>
                <c:pt idx="39">
                  <c:v>5.6000000000000059</c:v>
                </c:pt>
                <c:pt idx="40">
                  <c:v>6.0000000000000062</c:v>
                </c:pt>
                <c:pt idx="41">
                  <c:v>6.4000000000000066</c:v>
                </c:pt>
                <c:pt idx="42">
                  <c:v>6.8000000000000069</c:v>
                </c:pt>
                <c:pt idx="43">
                  <c:v>7.2000000000000073</c:v>
                </c:pt>
                <c:pt idx="44">
                  <c:v>7.6000000000000076</c:v>
                </c:pt>
                <c:pt idx="45">
                  <c:v>8.0000000000000071</c:v>
                </c:pt>
                <c:pt idx="46">
                  <c:v>8.4000000000000075</c:v>
                </c:pt>
                <c:pt idx="47">
                  <c:v>8.8000000000000078</c:v>
                </c:pt>
                <c:pt idx="48">
                  <c:v>9.2000000000000082</c:v>
                </c:pt>
                <c:pt idx="49">
                  <c:v>9.6000000000000085</c:v>
                </c:pt>
                <c:pt idx="50">
                  <c:v>10.000000000000009</c:v>
                </c:pt>
              </c:numCache>
            </c:numRef>
          </c:xVal>
          <c:yVal>
            <c:numRef>
              <c:f>Foglio1!$B$6:$B$56</c:f>
              <c:numCache>
                <c:formatCode>0.00</c:formatCode>
                <c:ptCount val="51"/>
                <c:pt idx="0">
                  <c:v>-16</c:v>
                </c:pt>
                <c:pt idx="1">
                  <c:v>-15.2</c:v>
                </c:pt>
                <c:pt idx="2">
                  <c:v>-14.399999999999999</c:v>
                </c:pt>
                <c:pt idx="3">
                  <c:v>-13.599999999999998</c:v>
                </c:pt>
                <c:pt idx="4">
                  <c:v>-12.799999999999997</c:v>
                </c:pt>
                <c:pt idx="5">
                  <c:v>-11.999999999999996</c:v>
                </c:pt>
                <c:pt idx="6">
                  <c:v>-11.199999999999996</c:v>
                </c:pt>
                <c:pt idx="7">
                  <c:v>-10.399999999999995</c:v>
                </c:pt>
                <c:pt idx="8">
                  <c:v>-9.5999999999999943</c:v>
                </c:pt>
                <c:pt idx="9">
                  <c:v>-8.7999999999999936</c:v>
                </c:pt>
                <c:pt idx="10">
                  <c:v>-7.9999999999999929</c:v>
                </c:pt>
                <c:pt idx="11">
                  <c:v>-7.1999999999999922</c:v>
                </c:pt>
                <c:pt idx="12">
                  <c:v>-6.3999999999999915</c:v>
                </c:pt>
                <c:pt idx="13">
                  <c:v>-5.5999999999999908</c:v>
                </c:pt>
                <c:pt idx="14">
                  <c:v>-4.7999999999999901</c:v>
                </c:pt>
                <c:pt idx="15">
                  <c:v>-3.9999999999999902</c:v>
                </c:pt>
                <c:pt idx="16">
                  <c:v>-3.1999999999999904</c:v>
                </c:pt>
                <c:pt idx="17">
                  <c:v>-2.3999999999999906</c:v>
                </c:pt>
                <c:pt idx="18">
                  <c:v>-1.5999999999999908</c:v>
                </c:pt>
                <c:pt idx="19">
                  <c:v>-0.79999999999999094</c:v>
                </c:pt>
                <c:pt idx="20">
                  <c:v>8.8817841970012523E-15</c:v>
                </c:pt>
                <c:pt idx="21">
                  <c:v>0.8000000000000087</c:v>
                </c:pt>
                <c:pt idx="22">
                  <c:v>1.6000000000000085</c:v>
                </c:pt>
                <c:pt idx="23">
                  <c:v>2.4000000000000083</c:v>
                </c:pt>
                <c:pt idx="24">
                  <c:v>3.2000000000000086</c:v>
                </c:pt>
                <c:pt idx="25">
                  <c:v>4.0000000000000089</c:v>
                </c:pt>
                <c:pt idx="26">
                  <c:v>4.8000000000000087</c:v>
                </c:pt>
                <c:pt idx="27">
                  <c:v>5.6000000000000085</c:v>
                </c:pt>
                <c:pt idx="28">
                  <c:v>6.4000000000000092</c:v>
                </c:pt>
                <c:pt idx="29">
                  <c:v>7.2000000000000091</c:v>
                </c:pt>
                <c:pt idx="30">
                  <c:v>8.0000000000000089</c:v>
                </c:pt>
                <c:pt idx="31">
                  <c:v>8.8000000000000078</c:v>
                </c:pt>
                <c:pt idx="32">
                  <c:v>9.6000000000000085</c:v>
                </c:pt>
                <c:pt idx="33">
                  <c:v>10.400000000000009</c:v>
                </c:pt>
                <c:pt idx="34">
                  <c:v>11.200000000000008</c:v>
                </c:pt>
                <c:pt idx="35">
                  <c:v>12.000000000000009</c:v>
                </c:pt>
                <c:pt idx="36">
                  <c:v>12.80000000000001</c:v>
                </c:pt>
                <c:pt idx="37">
                  <c:v>13.60000000000001</c:v>
                </c:pt>
                <c:pt idx="38">
                  <c:v>14.400000000000011</c:v>
                </c:pt>
                <c:pt idx="39">
                  <c:v>15.200000000000012</c:v>
                </c:pt>
                <c:pt idx="40">
                  <c:v>16.000000000000014</c:v>
                </c:pt>
                <c:pt idx="41">
                  <c:v>16.800000000000011</c:v>
                </c:pt>
                <c:pt idx="42">
                  <c:v>17.600000000000016</c:v>
                </c:pt>
                <c:pt idx="43">
                  <c:v>18.400000000000013</c:v>
                </c:pt>
                <c:pt idx="44">
                  <c:v>19.200000000000017</c:v>
                </c:pt>
                <c:pt idx="45">
                  <c:v>20.000000000000014</c:v>
                </c:pt>
                <c:pt idx="46">
                  <c:v>20.800000000000015</c:v>
                </c:pt>
                <c:pt idx="47">
                  <c:v>21.600000000000016</c:v>
                </c:pt>
                <c:pt idx="48">
                  <c:v>22.400000000000016</c:v>
                </c:pt>
                <c:pt idx="49">
                  <c:v>23.200000000000017</c:v>
                </c:pt>
                <c:pt idx="50">
                  <c:v>24.000000000000018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5A-4763-B500-5558274D5FEF}"/>
            </c:ext>
          </c:extLst>
        </c:ser>
        <c:ser>
          <c:idx val="1"/>
          <c:order val="1"/>
          <c:tx>
            <c:strRef>
              <c:f>Foglio1!$C$5</c:f>
              <c:strCache>
                <c:ptCount val="1"/>
                <c:pt idx="0">
                  <c:v>y''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Foglio1!$A$6:$A$56</c:f>
              <c:numCache>
                <c:formatCode>0.00</c:formatCode>
                <c:ptCount val="51"/>
                <c:pt idx="0">
                  <c:v>-10</c:v>
                </c:pt>
                <c:pt idx="1">
                  <c:v>-9.6</c:v>
                </c:pt>
                <c:pt idx="2">
                  <c:v>-9.1999999999999993</c:v>
                </c:pt>
                <c:pt idx="3">
                  <c:v>-8.7999999999999989</c:v>
                </c:pt>
                <c:pt idx="4">
                  <c:v>-8.3999999999999986</c:v>
                </c:pt>
                <c:pt idx="5">
                  <c:v>-7.9999999999999982</c:v>
                </c:pt>
                <c:pt idx="6">
                  <c:v>-7.5999999999999979</c:v>
                </c:pt>
                <c:pt idx="7">
                  <c:v>-7.1999999999999975</c:v>
                </c:pt>
                <c:pt idx="8">
                  <c:v>-6.7999999999999972</c:v>
                </c:pt>
                <c:pt idx="9">
                  <c:v>-6.3999999999999968</c:v>
                </c:pt>
                <c:pt idx="10">
                  <c:v>-5.9999999999999964</c:v>
                </c:pt>
                <c:pt idx="11">
                  <c:v>-5.5999999999999961</c:v>
                </c:pt>
                <c:pt idx="12">
                  <c:v>-5.1999999999999957</c:v>
                </c:pt>
                <c:pt idx="13">
                  <c:v>-4.7999999999999954</c:v>
                </c:pt>
                <c:pt idx="14">
                  <c:v>-4.399999999999995</c:v>
                </c:pt>
                <c:pt idx="15">
                  <c:v>-3.9999999999999951</c:v>
                </c:pt>
                <c:pt idx="16">
                  <c:v>-3.5999999999999952</c:v>
                </c:pt>
                <c:pt idx="17">
                  <c:v>-3.1999999999999953</c:v>
                </c:pt>
                <c:pt idx="18">
                  <c:v>-2.7999999999999954</c:v>
                </c:pt>
                <c:pt idx="19">
                  <c:v>-2.3999999999999955</c:v>
                </c:pt>
                <c:pt idx="20">
                  <c:v>-1.9999999999999956</c:v>
                </c:pt>
                <c:pt idx="21">
                  <c:v>-1.5999999999999956</c:v>
                </c:pt>
                <c:pt idx="22">
                  <c:v>-1.1999999999999957</c:v>
                </c:pt>
                <c:pt idx="23">
                  <c:v>-0.79999999999999571</c:v>
                </c:pt>
                <c:pt idx="24">
                  <c:v>-0.39999999999999569</c:v>
                </c:pt>
                <c:pt idx="25">
                  <c:v>4.3298697960381105E-15</c:v>
                </c:pt>
                <c:pt idx="26">
                  <c:v>0.40000000000000435</c:v>
                </c:pt>
                <c:pt idx="27">
                  <c:v>0.80000000000000437</c:v>
                </c:pt>
                <c:pt idx="28">
                  <c:v>1.2000000000000044</c:v>
                </c:pt>
                <c:pt idx="29">
                  <c:v>1.6000000000000045</c:v>
                </c:pt>
                <c:pt idx="30">
                  <c:v>2.0000000000000044</c:v>
                </c:pt>
                <c:pt idx="31">
                  <c:v>2.4000000000000044</c:v>
                </c:pt>
                <c:pt idx="32">
                  <c:v>2.8000000000000043</c:v>
                </c:pt>
                <c:pt idx="33">
                  <c:v>3.2000000000000042</c:v>
                </c:pt>
                <c:pt idx="34">
                  <c:v>3.6000000000000041</c:v>
                </c:pt>
                <c:pt idx="35">
                  <c:v>4.0000000000000044</c:v>
                </c:pt>
                <c:pt idx="36">
                  <c:v>4.4000000000000048</c:v>
                </c:pt>
                <c:pt idx="37">
                  <c:v>4.8000000000000052</c:v>
                </c:pt>
                <c:pt idx="38">
                  <c:v>5.2000000000000055</c:v>
                </c:pt>
                <c:pt idx="39">
                  <c:v>5.6000000000000059</c:v>
                </c:pt>
                <c:pt idx="40">
                  <c:v>6.0000000000000062</c:v>
                </c:pt>
                <c:pt idx="41">
                  <c:v>6.4000000000000066</c:v>
                </c:pt>
                <c:pt idx="42">
                  <c:v>6.8000000000000069</c:v>
                </c:pt>
                <c:pt idx="43">
                  <c:v>7.2000000000000073</c:v>
                </c:pt>
                <c:pt idx="44">
                  <c:v>7.6000000000000076</c:v>
                </c:pt>
                <c:pt idx="45">
                  <c:v>8.0000000000000071</c:v>
                </c:pt>
                <c:pt idx="46">
                  <c:v>8.4000000000000075</c:v>
                </c:pt>
                <c:pt idx="47">
                  <c:v>8.8000000000000078</c:v>
                </c:pt>
                <c:pt idx="48">
                  <c:v>9.2000000000000082</c:v>
                </c:pt>
                <c:pt idx="49">
                  <c:v>9.6000000000000085</c:v>
                </c:pt>
                <c:pt idx="50">
                  <c:v>10.000000000000009</c:v>
                </c:pt>
              </c:numCache>
            </c:numRef>
          </c:xVal>
          <c:yVal>
            <c:numRef>
              <c:f>Foglio1!$C$6:$C$56</c:f>
              <c:numCache>
                <c:formatCode>0.00</c:formatCode>
                <c:ptCount val="51"/>
                <c:pt idx="0">
                  <c:v>-20</c:v>
                </c:pt>
                <c:pt idx="1">
                  <c:v>-19.2</c:v>
                </c:pt>
                <c:pt idx="2">
                  <c:v>-18.399999999999999</c:v>
                </c:pt>
                <c:pt idx="3">
                  <c:v>-17.599999999999998</c:v>
                </c:pt>
                <c:pt idx="4">
                  <c:v>-16.799999999999997</c:v>
                </c:pt>
                <c:pt idx="5">
                  <c:v>-15.999999999999996</c:v>
                </c:pt>
                <c:pt idx="6">
                  <c:v>-15.199999999999996</c:v>
                </c:pt>
                <c:pt idx="7">
                  <c:v>-14.399999999999995</c:v>
                </c:pt>
                <c:pt idx="8">
                  <c:v>-13.599999999999994</c:v>
                </c:pt>
                <c:pt idx="9">
                  <c:v>-12.799999999999994</c:v>
                </c:pt>
                <c:pt idx="10">
                  <c:v>-11.999999999999993</c:v>
                </c:pt>
                <c:pt idx="11">
                  <c:v>-11.199999999999992</c:v>
                </c:pt>
                <c:pt idx="12">
                  <c:v>-10.399999999999991</c:v>
                </c:pt>
                <c:pt idx="13">
                  <c:v>-9.5999999999999908</c:v>
                </c:pt>
                <c:pt idx="14">
                  <c:v>-8.7999999999999901</c:v>
                </c:pt>
                <c:pt idx="15">
                  <c:v>-7.9999999999999902</c:v>
                </c:pt>
                <c:pt idx="16">
                  <c:v>-7.1999999999999904</c:v>
                </c:pt>
                <c:pt idx="17">
                  <c:v>-6.3999999999999906</c:v>
                </c:pt>
                <c:pt idx="18">
                  <c:v>-5.5999999999999908</c:v>
                </c:pt>
                <c:pt idx="19">
                  <c:v>-4.7999999999999909</c:v>
                </c:pt>
                <c:pt idx="20">
                  <c:v>-3.9999999999999911</c:v>
                </c:pt>
                <c:pt idx="21">
                  <c:v>-3.1999999999999913</c:v>
                </c:pt>
                <c:pt idx="22">
                  <c:v>-2.3999999999999915</c:v>
                </c:pt>
                <c:pt idx="23">
                  <c:v>-1.5999999999999914</c:v>
                </c:pt>
                <c:pt idx="24">
                  <c:v>-0.79999999999999138</c:v>
                </c:pt>
                <c:pt idx="25">
                  <c:v>8.659739592076221E-15</c:v>
                </c:pt>
                <c:pt idx="26">
                  <c:v>0.8000000000000087</c:v>
                </c:pt>
                <c:pt idx="27">
                  <c:v>1.6000000000000087</c:v>
                </c:pt>
                <c:pt idx="28">
                  <c:v>2.4000000000000088</c:v>
                </c:pt>
                <c:pt idx="29">
                  <c:v>3.2000000000000091</c:v>
                </c:pt>
                <c:pt idx="30">
                  <c:v>4.0000000000000089</c:v>
                </c:pt>
                <c:pt idx="31">
                  <c:v>4.8000000000000087</c:v>
                </c:pt>
                <c:pt idx="32">
                  <c:v>5.6000000000000085</c:v>
                </c:pt>
                <c:pt idx="33">
                  <c:v>6.4000000000000083</c:v>
                </c:pt>
                <c:pt idx="34">
                  <c:v>7.2000000000000082</c:v>
                </c:pt>
                <c:pt idx="35">
                  <c:v>8.0000000000000089</c:v>
                </c:pt>
                <c:pt idx="36">
                  <c:v>8.8000000000000096</c:v>
                </c:pt>
                <c:pt idx="37">
                  <c:v>9.6000000000000103</c:v>
                </c:pt>
                <c:pt idx="38">
                  <c:v>10.400000000000011</c:v>
                </c:pt>
                <c:pt idx="39">
                  <c:v>11.200000000000012</c:v>
                </c:pt>
                <c:pt idx="40">
                  <c:v>12.000000000000012</c:v>
                </c:pt>
                <c:pt idx="41">
                  <c:v>12.800000000000013</c:v>
                </c:pt>
                <c:pt idx="42">
                  <c:v>13.600000000000014</c:v>
                </c:pt>
                <c:pt idx="43">
                  <c:v>14.400000000000015</c:v>
                </c:pt>
                <c:pt idx="44">
                  <c:v>15.200000000000015</c:v>
                </c:pt>
                <c:pt idx="45">
                  <c:v>16.000000000000014</c:v>
                </c:pt>
                <c:pt idx="46">
                  <c:v>16.800000000000015</c:v>
                </c:pt>
                <c:pt idx="47">
                  <c:v>17.600000000000016</c:v>
                </c:pt>
                <c:pt idx="48">
                  <c:v>18.400000000000016</c:v>
                </c:pt>
                <c:pt idx="49">
                  <c:v>19.200000000000017</c:v>
                </c:pt>
                <c:pt idx="50">
                  <c:v>20.000000000000018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5A-4763-B500-5558274D5FEF}"/>
            </c:ext>
          </c:extLst>
        </c:ser>
        <c:ser>
          <c:idx val="2"/>
          <c:order val="2"/>
          <c:tx>
            <c:strRef>
              <c:f>Foglio1!$D$5</c:f>
              <c:strCache>
                <c:ptCount val="1"/>
                <c:pt idx="0">
                  <c:v>y'''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Foglio1!$A$6:$A$56</c:f>
              <c:numCache>
                <c:formatCode>0.00</c:formatCode>
                <c:ptCount val="51"/>
                <c:pt idx="0">
                  <c:v>-10</c:v>
                </c:pt>
                <c:pt idx="1">
                  <c:v>-9.6</c:v>
                </c:pt>
                <c:pt idx="2">
                  <c:v>-9.1999999999999993</c:v>
                </c:pt>
                <c:pt idx="3">
                  <c:v>-8.7999999999999989</c:v>
                </c:pt>
                <c:pt idx="4">
                  <c:v>-8.3999999999999986</c:v>
                </c:pt>
                <c:pt idx="5">
                  <c:v>-7.9999999999999982</c:v>
                </c:pt>
                <c:pt idx="6">
                  <c:v>-7.5999999999999979</c:v>
                </c:pt>
                <c:pt idx="7">
                  <c:v>-7.1999999999999975</c:v>
                </c:pt>
                <c:pt idx="8">
                  <c:v>-6.7999999999999972</c:v>
                </c:pt>
                <c:pt idx="9">
                  <c:v>-6.3999999999999968</c:v>
                </c:pt>
                <c:pt idx="10">
                  <c:v>-5.9999999999999964</c:v>
                </c:pt>
                <c:pt idx="11">
                  <c:v>-5.5999999999999961</c:v>
                </c:pt>
                <c:pt idx="12">
                  <c:v>-5.1999999999999957</c:v>
                </c:pt>
                <c:pt idx="13">
                  <c:v>-4.7999999999999954</c:v>
                </c:pt>
                <c:pt idx="14">
                  <c:v>-4.399999999999995</c:v>
                </c:pt>
                <c:pt idx="15">
                  <c:v>-3.9999999999999951</c:v>
                </c:pt>
                <c:pt idx="16">
                  <c:v>-3.5999999999999952</c:v>
                </c:pt>
                <c:pt idx="17">
                  <c:v>-3.1999999999999953</c:v>
                </c:pt>
                <c:pt idx="18">
                  <c:v>-2.7999999999999954</c:v>
                </c:pt>
                <c:pt idx="19">
                  <c:v>-2.3999999999999955</c:v>
                </c:pt>
                <c:pt idx="20">
                  <c:v>-1.9999999999999956</c:v>
                </c:pt>
                <c:pt idx="21">
                  <c:v>-1.5999999999999956</c:v>
                </c:pt>
                <c:pt idx="22">
                  <c:v>-1.1999999999999957</c:v>
                </c:pt>
                <c:pt idx="23">
                  <c:v>-0.79999999999999571</c:v>
                </c:pt>
                <c:pt idx="24">
                  <c:v>-0.39999999999999569</c:v>
                </c:pt>
                <c:pt idx="25">
                  <c:v>4.3298697960381105E-15</c:v>
                </c:pt>
                <c:pt idx="26">
                  <c:v>0.40000000000000435</c:v>
                </c:pt>
                <c:pt idx="27">
                  <c:v>0.80000000000000437</c:v>
                </c:pt>
                <c:pt idx="28">
                  <c:v>1.2000000000000044</c:v>
                </c:pt>
                <c:pt idx="29">
                  <c:v>1.6000000000000045</c:v>
                </c:pt>
                <c:pt idx="30">
                  <c:v>2.0000000000000044</c:v>
                </c:pt>
                <c:pt idx="31">
                  <c:v>2.4000000000000044</c:v>
                </c:pt>
                <c:pt idx="32">
                  <c:v>2.8000000000000043</c:v>
                </c:pt>
                <c:pt idx="33">
                  <c:v>3.2000000000000042</c:v>
                </c:pt>
                <c:pt idx="34">
                  <c:v>3.6000000000000041</c:v>
                </c:pt>
                <c:pt idx="35">
                  <c:v>4.0000000000000044</c:v>
                </c:pt>
                <c:pt idx="36">
                  <c:v>4.4000000000000048</c:v>
                </c:pt>
                <c:pt idx="37">
                  <c:v>4.8000000000000052</c:v>
                </c:pt>
                <c:pt idx="38">
                  <c:v>5.2000000000000055</c:v>
                </c:pt>
                <c:pt idx="39">
                  <c:v>5.6000000000000059</c:v>
                </c:pt>
                <c:pt idx="40">
                  <c:v>6.0000000000000062</c:v>
                </c:pt>
                <c:pt idx="41">
                  <c:v>6.4000000000000066</c:v>
                </c:pt>
                <c:pt idx="42">
                  <c:v>6.8000000000000069</c:v>
                </c:pt>
                <c:pt idx="43">
                  <c:v>7.2000000000000073</c:v>
                </c:pt>
                <c:pt idx="44">
                  <c:v>7.6000000000000076</c:v>
                </c:pt>
                <c:pt idx="45">
                  <c:v>8.0000000000000071</c:v>
                </c:pt>
                <c:pt idx="46">
                  <c:v>8.4000000000000075</c:v>
                </c:pt>
                <c:pt idx="47">
                  <c:v>8.8000000000000078</c:v>
                </c:pt>
                <c:pt idx="48">
                  <c:v>9.2000000000000082</c:v>
                </c:pt>
                <c:pt idx="49">
                  <c:v>9.6000000000000085</c:v>
                </c:pt>
                <c:pt idx="50">
                  <c:v>10.000000000000009</c:v>
                </c:pt>
              </c:numCache>
            </c:numRef>
          </c:xVal>
          <c:yVal>
            <c:numRef>
              <c:f>Foglio1!$D$6:$D$56</c:f>
              <c:numCache>
                <c:formatCode>0.00</c:formatCode>
                <c:ptCount val="51"/>
                <c:pt idx="0">
                  <c:v>580</c:v>
                </c:pt>
                <c:pt idx="1">
                  <c:v>533.76</c:v>
                </c:pt>
                <c:pt idx="2">
                  <c:v>489.43999999999994</c:v>
                </c:pt>
                <c:pt idx="3">
                  <c:v>447.03999999999985</c:v>
                </c:pt>
                <c:pt idx="4">
                  <c:v>406.55999999999983</c:v>
                </c:pt>
                <c:pt idx="5">
                  <c:v>367.99999999999983</c:v>
                </c:pt>
                <c:pt idx="6">
                  <c:v>331.35999999999984</c:v>
                </c:pt>
                <c:pt idx="7">
                  <c:v>296.63999999999976</c:v>
                </c:pt>
                <c:pt idx="8">
                  <c:v>263.8399999999998</c:v>
                </c:pt>
                <c:pt idx="9">
                  <c:v>232.95999999999978</c:v>
                </c:pt>
                <c:pt idx="10">
                  <c:v>203.99999999999974</c:v>
                </c:pt>
                <c:pt idx="11">
                  <c:v>176.95999999999975</c:v>
                </c:pt>
                <c:pt idx="12">
                  <c:v>151.83999999999975</c:v>
                </c:pt>
                <c:pt idx="13">
                  <c:v>128.63999999999973</c:v>
                </c:pt>
                <c:pt idx="14">
                  <c:v>107.35999999999976</c:v>
                </c:pt>
                <c:pt idx="15">
                  <c:v>87.999999999999787</c:v>
                </c:pt>
                <c:pt idx="16">
                  <c:v>70.559999999999803</c:v>
                </c:pt>
                <c:pt idx="17">
                  <c:v>55.039999999999829</c:v>
                </c:pt>
                <c:pt idx="18">
                  <c:v>41.439999999999856</c:v>
                </c:pt>
                <c:pt idx="19">
                  <c:v>29.759999999999884</c:v>
                </c:pt>
                <c:pt idx="20">
                  <c:v>19.999999999999901</c:v>
                </c:pt>
                <c:pt idx="21">
                  <c:v>12.159999999999926</c:v>
                </c:pt>
                <c:pt idx="22">
                  <c:v>6.2399999999999469</c:v>
                </c:pt>
                <c:pt idx="23">
                  <c:v>2.2399999999999674</c:v>
                </c:pt>
                <c:pt idx="24">
                  <c:v>0.15999999999998793</c:v>
                </c:pt>
                <c:pt idx="25">
                  <c:v>8.659739592076333E-15</c:v>
                </c:pt>
                <c:pt idx="26">
                  <c:v>1.7600000000000295</c:v>
                </c:pt>
                <c:pt idx="27">
                  <c:v>5.440000000000051</c:v>
                </c:pt>
                <c:pt idx="28">
                  <c:v>11.040000000000074</c:v>
                </c:pt>
                <c:pt idx="29">
                  <c:v>18.560000000000098</c:v>
                </c:pt>
                <c:pt idx="30">
                  <c:v>28.000000000000114</c:v>
                </c:pt>
                <c:pt idx="31">
                  <c:v>39.360000000000142</c:v>
                </c:pt>
                <c:pt idx="32">
                  <c:v>52.64000000000015</c:v>
                </c:pt>
                <c:pt idx="33">
                  <c:v>67.840000000000174</c:v>
                </c:pt>
                <c:pt idx="34">
                  <c:v>84.960000000000178</c:v>
                </c:pt>
                <c:pt idx="35">
                  <c:v>104.00000000000023</c:v>
                </c:pt>
                <c:pt idx="36">
                  <c:v>124.96000000000026</c:v>
                </c:pt>
                <c:pt idx="37">
                  <c:v>147.84000000000032</c:v>
                </c:pt>
                <c:pt idx="38">
                  <c:v>172.64000000000036</c:v>
                </c:pt>
                <c:pt idx="39">
                  <c:v>199.36000000000041</c:v>
                </c:pt>
                <c:pt idx="40">
                  <c:v>228.00000000000043</c:v>
                </c:pt>
                <c:pt idx="41">
                  <c:v>258.56000000000051</c:v>
                </c:pt>
                <c:pt idx="42">
                  <c:v>291.04000000000059</c:v>
                </c:pt>
                <c:pt idx="43">
                  <c:v>325.44000000000068</c:v>
                </c:pt>
                <c:pt idx="44">
                  <c:v>361.76000000000073</c:v>
                </c:pt>
                <c:pt idx="45">
                  <c:v>400.00000000000068</c:v>
                </c:pt>
                <c:pt idx="46">
                  <c:v>440.16000000000082</c:v>
                </c:pt>
                <c:pt idx="47">
                  <c:v>482.24000000000086</c:v>
                </c:pt>
                <c:pt idx="48">
                  <c:v>526.24000000000092</c:v>
                </c:pt>
                <c:pt idx="49">
                  <c:v>572.16000000000099</c:v>
                </c:pt>
                <c:pt idx="50">
                  <c:v>620.00000000000102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5A-4763-B500-5558274D5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263111"/>
        <c:axId val="1753269255"/>
      </c:scatterChart>
      <c:valAx>
        <c:axId val="1753263111"/>
        <c:scaling>
          <c:orientation val="minMax"/>
          <c:max val="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69255"/>
        <c:crosses val="autoZero"/>
        <c:crossBetween val="midCat"/>
        <c:majorUnit val="1"/>
        <c:minorUnit val="1"/>
      </c:valAx>
      <c:valAx>
        <c:axId val="1753269255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6311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10</xdr:row>
      <xdr:rowOff>66675</xdr:rowOff>
    </xdr:from>
    <xdr:to>
      <xdr:col>19</xdr:col>
      <xdr:colOff>9525</xdr:colOff>
      <xdr:row>43</xdr:row>
      <xdr:rowOff>133350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793142B-F037-697D-7D6C-048253F84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351F-AC61-49FB-B823-4516B771C766}">
  <dimension ref="A1:Q106"/>
  <sheetViews>
    <sheetView tabSelected="1" zoomScale="87" workbookViewId="0">
      <selection activeCell="W34" sqref="W34"/>
    </sheetView>
  </sheetViews>
  <sheetFormatPr defaultRowHeight="14.45"/>
  <cols>
    <col min="1" max="1" width="12.42578125" style="24" customWidth="1"/>
    <col min="2" max="2" width="10.5703125" style="24" customWidth="1"/>
    <col min="3" max="3" width="9.140625" style="24"/>
    <col min="4" max="4" width="9.140625" style="31"/>
    <col min="6" max="9" width="9.140625" style="2"/>
  </cols>
  <sheetData>
    <row r="1" spans="1:13" ht="15">
      <c r="A1" s="25" t="s">
        <v>0</v>
      </c>
      <c r="B1" s="29" t="s">
        <v>1</v>
      </c>
      <c r="C1" s="29" t="s">
        <v>2</v>
      </c>
      <c r="F1" s="5" t="s">
        <v>3</v>
      </c>
      <c r="G1" s="5"/>
      <c r="H1" s="5"/>
      <c r="I1" s="4"/>
    </row>
    <row r="2" spans="1:13" ht="14.45" customHeight="1">
      <c r="A2" s="26">
        <v>-10</v>
      </c>
      <c r="B2" s="30">
        <v>10</v>
      </c>
      <c r="C2" s="26">
        <v>50</v>
      </c>
      <c r="F2" s="12" t="s">
        <v>4</v>
      </c>
      <c r="G2" s="13" t="s">
        <v>4</v>
      </c>
      <c r="H2" s="14" t="s">
        <v>4</v>
      </c>
      <c r="I2" s="4"/>
    </row>
    <row r="3" spans="1:13" ht="15">
      <c r="F3" s="15" t="s">
        <v>5</v>
      </c>
      <c r="G3" s="16" t="s">
        <v>5</v>
      </c>
      <c r="H3" s="17" t="s">
        <v>5</v>
      </c>
      <c r="I3" s="4"/>
    </row>
    <row r="4" spans="1:13" ht="15">
      <c r="F4" s="18">
        <v>0</v>
      </c>
      <c r="G4" s="24">
        <v>0</v>
      </c>
      <c r="H4" s="20">
        <v>6</v>
      </c>
      <c r="I4" s="7" t="s">
        <v>6</v>
      </c>
    </row>
    <row r="5" spans="1:13" ht="15">
      <c r="A5" s="33" t="s">
        <v>7</v>
      </c>
      <c r="B5" s="33" t="s">
        <v>8</v>
      </c>
      <c r="C5" s="33" t="s">
        <v>9</v>
      </c>
      <c r="D5" s="33" t="s">
        <v>10</v>
      </c>
      <c r="F5" s="10" t="s">
        <v>11</v>
      </c>
      <c r="G5" s="2" t="s">
        <v>11</v>
      </c>
      <c r="H5" s="11" t="s">
        <v>11</v>
      </c>
      <c r="I5" s="4"/>
    </row>
    <row r="6" spans="1:13" ht="15">
      <c r="A6" s="27">
        <f>IF(A5="x",A$2,IF(A5 &gt;= B$2, B$2, A5+(B$2-A$2)/C$2))</f>
        <v>-10</v>
      </c>
      <c r="B6" s="27">
        <f>F$4*$A6^2+F$6*$A6+F$8</f>
        <v>-16</v>
      </c>
      <c r="C6" s="27">
        <f t="shared" ref="C6:D21" si="0">G$4*$A6^2+G$6*$A6+G$8</f>
        <v>-20</v>
      </c>
      <c r="D6" s="27">
        <f t="shared" si="0"/>
        <v>580</v>
      </c>
      <c r="F6" s="18">
        <v>2</v>
      </c>
      <c r="G6" s="19">
        <v>2</v>
      </c>
      <c r="H6" s="20">
        <v>2</v>
      </c>
      <c r="I6" s="8" t="s">
        <v>12</v>
      </c>
    </row>
    <row r="7" spans="1:13" ht="15">
      <c r="A7" s="27">
        <f t="shared" ref="A7:A70" si="1">IF(A6="x",A$2,IF(A6 &gt;= B$2, B$2, A6+(B$2-A$2)/C$2))</f>
        <v>-9.6</v>
      </c>
      <c r="B7" s="27">
        <f t="shared" ref="B7:D56" si="2">F$4*$A7^2+F$6*$A7+F$8</f>
        <v>-15.2</v>
      </c>
      <c r="C7" s="27">
        <f t="shared" si="0"/>
        <v>-19.2</v>
      </c>
      <c r="D7" s="27">
        <f t="shared" si="0"/>
        <v>533.76</v>
      </c>
      <c r="F7" s="10" t="s">
        <v>7</v>
      </c>
      <c r="G7" s="4" t="s">
        <v>7</v>
      </c>
      <c r="H7" s="11" t="s">
        <v>7</v>
      </c>
      <c r="I7" s="4"/>
    </row>
    <row r="8" spans="1:13" ht="15">
      <c r="A8" s="27">
        <f t="shared" si="1"/>
        <v>-9.1999999999999993</v>
      </c>
      <c r="B8" s="27">
        <f t="shared" si="2"/>
        <v>-14.399999999999999</v>
      </c>
      <c r="C8" s="27">
        <f t="shared" si="0"/>
        <v>-18.399999999999999</v>
      </c>
      <c r="D8" s="27">
        <f t="shared" si="0"/>
        <v>489.43999999999994</v>
      </c>
      <c r="F8" s="21">
        <v>4</v>
      </c>
      <c r="G8" s="22">
        <v>0</v>
      </c>
      <c r="H8" s="23">
        <v>0</v>
      </c>
      <c r="I8" s="9" t="s">
        <v>13</v>
      </c>
      <c r="K8" s="3"/>
      <c r="L8" s="3"/>
      <c r="M8" s="3"/>
    </row>
    <row r="9" spans="1:13" ht="15">
      <c r="A9" s="27">
        <f t="shared" si="1"/>
        <v>-8.7999999999999989</v>
      </c>
      <c r="B9" s="27">
        <f t="shared" si="2"/>
        <v>-13.599999999999998</v>
      </c>
      <c r="C9" s="27">
        <f t="shared" si="0"/>
        <v>-17.599999999999998</v>
      </c>
      <c r="D9" s="27">
        <f t="shared" si="0"/>
        <v>447.03999999999985</v>
      </c>
      <c r="K9" s="3"/>
      <c r="L9" s="3"/>
      <c r="M9" s="3"/>
    </row>
    <row r="10" spans="1:13">
      <c r="A10" s="27">
        <f t="shared" si="1"/>
        <v>-8.3999999999999986</v>
      </c>
      <c r="B10" s="27">
        <f t="shared" si="2"/>
        <v>-12.799999999999997</v>
      </c>
      <c r="C10" s="27">
        <f t="shared" si="0"/>
        <v>-16.799999999999997</v>
      </c>
      <c r="D10" s="27">
        <f t="shared" si="0"/>
        <v>406.55999999999983</v>
      </c>
      <c r="K10" s="3"/>
      <c r="L10" s="3"/>
      <c r="M10" s="3"/>
    </row>
    <row r="11" spans="1:13">
      <c r="A11" s="27">
        <f t="shared" si="1"/>
        <v>-7.9999999999999982</v>
      </c>
      <c r="B11" s="27">
        <f t="shared" si="2"/>
        <v>-11.999999999999996</v>
      </c>
      <c r="C11" s="27">
        <f t="shared" si="0"/>
        <v>-15.999999999999996</v>
      </c>
      <c r="D11" s="27">
        <f t="shared" si="0"/>
        <v>367.99999999999983</v>
      </c>
      <c r="I11" s="6"/>
      <c r="K11" s="3"/>
      <c r="L11" s="3"/>
      <c r="M11" s="3"/>
    </row>
    <row r="12" spans="1:13">
      <c r="A12" s="27">
        <f t="shared" si="1"/>
        <v>-7.5999999999999979</v>
      </c>
      <c r="B12" s="27">
        <f t="shared" si="2"/>
        <v>-11.199999999999996</v>
      </c>
      <c r="C12" s="27">
        <f t="shared" si="0"/>
        <v>-15.199999999999996</v>
      </c>
      <c r="D12" s="27">
        <f t="shared" si="0"/>
        <v>331.35999999999984</v>
      </c>
      <c r="K12" s="3"/>
      <c r="L12" s="3"/>
      <c r="M12" s="3"/>
    </row>
    <row r="13" spans="1:13">
      <c r="A13" s="27">
        <f t="shared" si="1"/>
        <v>-7.1999999999999975</v>
      </c>
      <c r="B13" s="27">
        <f t="shared" si="2"/>
        <v>-10.399999999999995</v>
      </c>
      <c r="C13" s="27">
        <f t="shared" si="0"/>
        <v>-14.399999999999995</v>
      </c>
      <c r="D13" s="27">
        <f t="shared" si="0"/>
        <v>296.63999999999976</v>
      </c>
      <c r="K13" s="3"/>
      <c r="L13" s="3"/>
      <c r="M13" s="3"/>
    </row>
    <row r="14" spans="1:13">
      <c r="A14" s="27">
        <f t="shared" si="1"/>
        <v>-6.7999999999999972</v>
      </c>
      <c r="B14" s="27">
        <f t="shared" si="2"/>
        <v>-9.5999999999999943</v>
      </c>
      <c r="C14" s="27">
        <f t="shared" si="0"/>
        <v>-13.599999999999994</v>
      </c>
      <c r="D14" s="27">
        <f t="shared" si="0"/>
        <v>263.8399999999998</v>
      </c>
    </row>
    <row r="15" spans="1:13">
      <c r="A15" s="27">
        <f t="shared" si="1"/>
        <v>-6.3999999999999968</v>
      </c>
      <c r="B15" s="27">
        <f t="shared" si="2"/>
        <v>-8.7999999999999936</v>
      </c>
      <c r="C15" s="27">
        <f t="shared" si="0"/>
        <v>-12.799999999999994</v>
      </c>
      <c r="D15" s="27">
        <f t="shared" si="0"/>
        <v>232.95999999999978</v>
      </c>
    </row>
    <row r="16" spans="1:13">
      <c r="A16" s="27">
        <f t="shared" si="1"/>
        <v>-5.9999999999999964</v>
      </c>
      <c r="B16" s="27">
        <f t="shared" si="2"/>
        <v>-7.9999999999999929</v>
      </c>
      <c r="C16" s="27">
        <f t="shared" si="0"/>
        <v>-11.999999999999993</v>
      </c>
      <c r="D16" s="27">
        <f t="shared" si="0"/>
        <v>203.99999999999974</v>
      </c>
    </row>
    <row r="17" spans="1:17">
      <c r="A17" s="27">
        <f t="shared" si="1"/>
        <v>-5.5999999999999961</v>
      </c>
      <c r="B17" s="27">
        <f t="shared" si="2"/>
        <v>-7.1999999999999922</v>
      </c>
      <c r="C17" s="27">
        <f t="shared" si="0"/>
        <v>-11.199999999999992</v>
      </c>
      <c r="D17" s="27">
        <f t="shared" si="0"/>
        <v>176.95999999999975</v>
      </c>
    </row>
    <row r="18" spans="1:17">
      <c r="A18" s="27">
        <f t="shared" si="1"/>
        <v>-5.1999999999999957</v>
      </c>
      <c r="B18" s="27">
        <f t="shared" si="2"/>
        <v>-6.3999999999999915</v>
      </c>
      <c r="C18" s="27">
        <f t="shared" si="0"/>
        <v>-10.399999999999991</v>
      </c>
      <c r="D18" s="27">
        <f t="shared" si="0"/>
        <v>151.83999999999975</v>
      </c>
    </row>
    <row r="19" spans="1:17">
      <c r="A19" s="27">
        <f t="shared" si="1"/>
        <v>-4.7999999999999954</v>
      </c>
      <c r="B19" s="27">
        <f t="shared" si="2"/>
        <v>-5.5999999999999908</v>
      </c>
      <c r="C19" s="27">
        <f t="shared" si="0"/>
        <v>-9.5999999999999908</v>
      </c>
      <c r="D19" s="27">
        <f t="shared" si="0"/>
        <v>128.63999999999973</v>
      </c>
    </row>
    <row r="20" spans="1:17">
      <c r="A20" s="27">
        <f t="shared" si="1"/>
        <v>-4.399999999999995</v>
      </c>
      <c r="B20" s="27">
        <f t="shared" si="2"/>
        <v>-4.7999999999999901</v>
      </c>
      <c r="C20" s="27">
        <f t="shared" si="0"/>
        <v>-8.7999999999999901</v>
      </c>
      <c r="D20" s="27">
        <f t="shared" si="0"/>
        <v>107.35999999999976</v>
      </c>
    </row>
    <row r="21" spans="1:17">
      <c r="A21" s="27">
        <f t="shared" si="1"/>
        <v>-3.9999999999999951</v>
      </c>
      <c r="B21" s="27">
        <f t="shared" si="2"/>
        <v>-3.9999999999999902</v>
      </c>
      <c r="C21" s="27">
        <f t="shared" si="0"/>
        <v>-7.9999999999999902</v>
      </c>
      <c r="D21" s="27">
        <f t="shared" si="0"/>
        <v>87.999999999999787</v>
      </c>
    </row>
    <row r="22" spans="1:17">
      <c r="A22" s="27">
        <f t="shared" si="1"/>
        <v>-3.5999999999999952</v>
      </c>
      <c r="B22" s="27">
        <f t="shared" si="2"/>
        <v>-3.1999999999999904</v>
      </c>
      <c r="C22" s="27">
        <f t="shared" si="2"/>
        <v>-7.1999999999999904</v>
      </c>
      <c r="D22" s="27">
        <f t="shared" si="2"/>
        <v>70.559999999999803</v>
      </c>
    </row>
    <row r="23" spans="1:17">
      <c r="A23" s="27">
        <f t="shared" si="1"/>
        <v>-3.1999999999999953</v>
      </c>
      <c r="B23" s="27">
        <f t="shared" si="2"/>
        <v>-2.3999999999999906</v>
      </c>
      <c r="C23" s="27">
        <f t="shared" si="2"/>
        <v>-6.3999999999999906</v>
      </c>
      <c r="D23" s="27">
        <f t="shared" si="2"/>
        <v>55.039999999999829</v>
      </c>
    </row>
    <row r="24" spans="1:17">
      <c r="A24" s="27">
        <f t="shared" si="1"/>
        <v>-2.7999999999999954</v>
      </c>
      <c r="B24" s="27">
        <f t="shared" si="2"/>
        <v>-1.5999999999999908</v>
      </c>
      <c r="C24" s="27">
        <f t="shared" si="2"/>
        <v>-5.5999999999999908</v>
      </c>
      <c r="D24" s="27">
        <f t="shared" si="2"/>
        <v>41.439999999999856</v>
      </c>
    </row>
    <row r="25" spans="1:17">
      <c r="A25" s="27">
        <f t="shared" si="1"/>
        <v>-2.3999999999999955</v>
      </c>
      <c r="B25" s="27">
        <f t="shared" si="2"/>
        <v>-0.79999999999999094</v>
      </c>
      <c r="C25" s="27">
        <f t="shared" si="2"/>
        <v>-4.7999999999999909</v>
      </c>
      <c r="D25" s="27">
        <f t="shared" si="2"/>
        <v>29.759999999999884</v>
      </c>
    </row>
    <row r="26" spans="1:17">
      <c r="A26" s="27">
        <f t="shared" si="1"/>
        <v>-1.9999999999999956</v>
      </c>
      <c r="B26" s="27">
        <f t="shared" si="2"/>
        <v>8.8817841970012523E-15</v>
      </c>
      <c r="C26" s="27">
        <f t="shared" si="2"/>
        <v>-3.9999999999999911</v>
      </c>
      <c r="D26" s="27">
        <f t="shared" si="2"/>
        <v>19.999999999999901</v>
      </c>
    </row>
    <row r="27" spans="1:17">
      <c r="A27" s="27">
        <f t="shared" si="1"/>
        <v>-1.5999999999999956</v>
      </c>
      <c r="B27" s="27">
        <f t="shared" si="2"/>
        <v>0.8000000000000087</v>
      </c>
      <c r="C27" s="27">
        <f t="shared" si="2"/>
        <v>-3.1999999999999913</v>
      </c>
      <c r="D27" s="27">
        <f t="shared" si="2"/>
        <v>12.159999999999926</v>
      </c>
    </row>
    <row r="28" spans="1:17">
      <c r="A28" s="27">
        <f t="shared" si="1"/>
        <v>-1.1999999999999957</v>
      </c>
      <c r="B28" s="27">
        <f t="shared" si="2"/>
        <v>1.6000000000000085</v>
      </c>
      <c r="C28" s="27">
        <f t="shared" si="2"/>
        <v>-2.3999999999999915</v>
      </c>
      <c r="D28" s="27">
        <f t="shared" si="2"/>
        <v>6.2399999999999469</v>
      </c>
    </row>
    <row r="29" spans="1:17">
      <c r="A29" s="27">
        <f t="shared" si="1"/>
        <v>-0.79999999999999571</v>
      </c>
      <c r="B29" s="27">
        <f t="shared" si="2"/>
        <v>2.4000000000000083</v>
      </c>
      <c r="C29" s="27">
        <f t="shared" si="2"/>
        <v>-1.5999999999999914</v>
      </c>
      <c r="D29" s="27">
        <f t="shared" si="2"/>
        <v>2.2399999999999674</v>
      </c>
    </row>
    <row r="30" spans="1:17">
      <c r="A30" s="27">
        <f t="shared" si="1"/>
        <v>-0.39999999999999569</v>
      </c>
      <c r="B30" s="27">
        <f t="shared" si="2"/>
        <v>3.2000000000000086</v>
      </c>
      <c r="C30" s="27">
        <f t="shared" si="2"/>
        <v>-0.79999999999999138</v>
      </c>
      <c r="D30" s="27">
        <f t="shared" si="2"/>
        <v>0.15999999999998793</v>
      </c>
    </row>
    <row r="31" spans="1:17">
      <c r="A31" s="27">
        <f>IF(A30="x",A$2,IF(A30 &gt;= B$2, B$2, A30+(B$2-A$2)/C$2))</f>
        <v>4.3298697960381105E-15</v>
      </c>
      <c r="B31" s="27">
        <f t="shared" si="2"/>
        <v>4.0000000000000089</v>
      </c>
      <c r="C31" s="27">
        <f t="shared" si="2"/>
        <v>8.659739592076221E-15</v>
      </c>
      <c r="D31" s="27">
        <f t="shared" si="2"/>
        <v>8.659739592076333E-15</v>
      </c>
      <c r="Q31" s="1"/>
    </row>
    <row r="32" spans="1:17">
      <c r="A32" s="27">
        <f t="shared" si="1"/>
        <v>0.40000000000000435</v>
      </c>
      <c r="B32" s="27">
        <f t="shared" si="2"/>
        <v>4.8000000000000087</v>
      </c>
      <c r="C32" s="27">
        <f t="shared" si="2"/>
        <v>0.8000000000000087</v>
      </c>
      <c r="D32" s="27">
        <f t="shared" si="2"/>
        <v>1.7600000000000295</v>
      </c>
    </row>
    <row r="33" spans="1:4">
      <c r="A33" s="27">
        <f t="shared" si="1"/>
        <v>0.80000000000000437</v>
      </c>
      <c r="B33" s="27">
        <f t="shared" si="2"/>
        <v>5.6000000000000085</v>
      </c>
      <c r="C33" s="27">
        <f t="shared" si="2"/>
        <v>1.6000000000000087</v>
      </c>
      <c r="D33" s="27">
        <f t="shared" si="2"/>
        <v>5.440000000000051</v>
      </c>
    </row>
    <row r="34" spans="1:4">
      <c r="A34" s="27">
        <f t="shared" si="1"/>
        <v>1.2000000000000044</v>
      </c>
      <c r="B34" s="27">
        <f t="shared" si="2"/>
        <v>6.4000000000000092</v>
      </c>
      <c r="C34" s="27">
        <f t="shared" si="2"/>
        <v>2.4000000000000088</v>
      </c>
      <c r="D34" s="27">
        <f t="shared" si="2"/>
        <v>11.040000000000074</v>
      </c>
    </row>
    <row r="35" spans="1:4">
      <c r="A35" s="27">
        <f t="shared" si="1"/>
        <v>1.6000000000000045</v>
      </c>
      <c r="B35" s="27">
        <f t="shared" si="2"/>
        <v>7.2000000000000091</v>
      </c>
      <c r="C35" s="27">
        <f t="shared" si="2"/>
        <v>3.2000000000000091</v>
      </c>
      <c r="D35" s="27">
        <f t="shared" si="2"/>
        <v>18.560000000000098</v>
      </c>
    </row>
    <row r="36" spans="1:4">
      <c r="A36" s="27">
        <f t="shared" si="1"/>
        <v>2.0000000000000044</v>
      </c>
      <c r="B36" s="27">
        <f t="shared" si="2"/>
        <v>8.0000000000000089</v>
      </c>
      <c r="C36" s="27">
        <f t="shared" si="2"/>
        <v>4.0000000000000089</v>
      </c>
      <c r="D36" s="27">
        <f t="shared" si="2"/>
        <v>28.000000000000114</v>
      </c>
    </row>
    <row r="37" spans="1:4">
      <c r="A37" s="27">
        <f t="shared" si="1"/>
        <v>2.4000000000000044</v>
      </c>
      <c r="B37" s="27">
        <f t="shared" si="2"/>
        <v>8.8000000000000078</v>
      </c>
      <c r="C37" s="27">
        <f t="shared" si="2"/>
        <v>4.8000000000000087</v>
      </c>
      <c r="D37" s="27">
        <f t="shared" si="2"/>
        <v>39.360000000000142</v>
      </c>
    </row>
    <row r="38" spans="1:4">
      <c r="A38" s="27">
        <f t="shared" si="1"/>
        <v>2.8000000000000043</v>
      </c>
      <c r="B38" s="27">
        <f t="shared" si="2"/>
        <v>9.6000000000000085</v>
      </c>
      <c r="C38" s="27">
        <f t="shared" si="2"/>
        <v>5.6000000000000085</v>
      </c>
      <c r="D38" s="27">
        <f t="shared" si="2"/>
        <v>52.64000000000015</v>
      </c>
    </row>
    <row r="39" spans="1:4">
      <c r="A39" s="27">
        <f t="shared" si="1"/>
        <v>3.2000000000000042</v>
      </c>
      <c r="B39" s="27">
        <f t="shared" si="2"/>
        <v>10.400000000000009</v>
      </c>
      <c r="C39" s="27">
        <f t="shared" si="2"/>
        <v>6.4000000000000083</v>
      </c>
      <c r="D39" s="27">
        <f t="shared" si="2"/>
        <v>67.840000000000174</v>
      </c>
    </row>
    <row r="40" spans="1:4">
      <c r="A40" s="27">
        <f t="shared" si="1"/>
        <v>3.6000000000000041</v>
      </c>
      <c r="B40" s="27">
        <f t="shared" si="2"/>
        <v>11.200000000000008</v>
      </c>
      <c r="C40" s="27">
        <f t="shared" si="2"/>
        <v>7.2000000000000082</v>
      </c>
      <c r="D40" s="27">
        <f t="shared" si="2"/>
        <v>84.960000000000178</v>
      </c>
    </row>
    <row r="41" spans="1:4">
      <c r="A41" s="27">
        <f t="shared" si="1"/>
        <v>4.0000000000000044</v>
      </c>
      <c r="B41" s="27">
        <f t="shared" si="2"/>
        <v>12.000000000000009</v>
      </c>
      <c r="C41" s="27">
        <f t="shared" si="2"/>
        <v>8.0000000000000089</v>
      </c>
      <c r="D41" s="27">
        <f t="shared" si="2"/>
        <v>104.00000000000023</v>
      </c>
    </row>
    <row r="42" spans="1:4">
      <c r="A42" s="27">
        <f t="shared" si="1"/>
        <v>4.4000000000000048</v>
      </c>
      <c r="B42" s="27">
        <f t="shared" si="2"/>
        <v>12.80000000000001</v>
      </c>
      <c r="C42" s="27">
        <f t="shared" si="2"/>
        <v>8.8000000000000096</v>
      </c>
      <c r="D42" s="27">
        <f t="shared" si="2"/>
        <v>124.96000000000026</v>
      </c>
    </row>
    <row r="43" spans="1:4">
      <c r="A43" s="27">
        <f t="shared" si="1"/>
        <v>4.8000000000000052</v>
      </c>
      <c r="B43" s="27">
        <f t="shared" si="2"/>
        <v>13.60000000000001</v>
      </c>
      <c r="C43" s="27">
        <f t="shared" si="2"/>
        <v>9.6000000000000103</v>
      </c>
      <c r="D43" s="27">
        <f t="shared" si="2"/>
        <v>147.84000000000032</v>
      </c>
    </row>
    <row r="44" spans="1:4">
      <c r="A44" s="27">
        <f t="shared" si="1"/>
        <v>5.2000000000000055</v>
      </c>
      <c r="B44" s="27">
        <f t="shared" si="2"/>
        <v>14.400000000000011</v>
      </c>
      <c r="C44" s="27">
        <f t="shared" si="2"/>
        <v>10.400000000000011</v>
      </c>
      <c r="D44" s="27">
        <f t="shared" si="2"/>
        <v>172.64000000000036</v>
      </c>
    </row>
    <row r="45" spans="1:4">
      <c r="A45" s="27">
        <f t="shared" si="1"/>
        <v>5.6000000000000059</v>
      </c>
      <c r="B45" s="27">
        <f t="shared" si="2"/>
        <v>15.200000000000012</v>
      </c>
      <c r="C45" s="27">
        <f t="shared" si="2"/>
        <v>11.200000000000012</v>
      </c>
      <c r="D45" s="27">
        <f t="shared" si="2"/>
        <v>199.36000000000041</v>
      </c>
    </row>
    <row r="46" spans="1:4">
      <c r="A46" s="27">
        <f t="shared" si="1"/>
        <v>6.0000000000000062</v>
      </c>
      <c r="B46" s="27">
        <f t="shared" si="2"/>
        <v>16.000000000000014</v>
      </c>
      <c r="C46" s="27">
        <f t="shared" si="2"/>
        <v>12.000000000000012</v>
      </c>
      <c r="D46" s="27">
        <f t="shared" si="2"/>
        <v>228.00000000000043</v>
      </c>
    </row>
    <row r="47" spans="1:4">
      <c r="A47" s="27">
        <f t="shared" si="1"/>
        <v>6.4000000000000066</v>
      </c>
      <c r="B47" s="27">
        <f t="shared" si="2"/>
        <v>16.800000000000011</v>
      </c>
      <c r="C47" s="27">
        <f t="shared" si="2"/>
        <v>12.800000000000013</v>
      </c>
      <c r="D47" s="27">
        <f t="shared" si="2"/>
        <v>258.56000000000051</v>
      </c>
    </row>
    <row r="48" spans="1:4">
      <c r="A48" s="27">
        <f t="shared" si="1"/>
        <v>6.8000000000000069</v>
      </c>
      <c r="B48" s="27">
        <f t="shared" si="2"/>
        <v>17.600000000000016</v>
      </c>
      <c r="C48" s="27">
        <f t="shared" si="2"/>
        <v>13.600000000000014</v>
      </c>
      <c r="D48" s="27">
        <f t="shared" si="2"/>
        <v>291.04000000000059</v>
      </c>
    </row>
    <row r="49" spans="1:4">
      <c r="A49" s="27">
        <f t="shared" si="1"/>
        <v>7.2000000000000073</v>
      </c>
      <c r="B49" s="27">
        <f t="shared" si="2"/>
        <v>18.400000000000013</v>
      </c>
      <c r="C49" s="27">
        <f t="shared" si="2"/>
        <v>14.400000000000015</v>
      </c>
      <c r="D49" s="27">
        <f t="shared" si="2"/>
        <v>325.44000000000068</v>
      </c>
    </row>
    <row r="50" spans="1:4">
      <c r="A50" s="27">
        <f t="shared" si="1"/>
        <v>7.6000000000000076</v>
      </c>
      <c r="B50" s="27">
        <f t="shared" si="2"/>
        <v>19.200000000000017</v>
      </c>
      <c r="C50" s="27">
        <f t="shared" si="2"/>
        <v>15.200000000000015</v>
      </c>
      <c r="D50" s="27">
        <f t="shared" si="2"/>
        <v>361.76000000000073</v>
      </c>
    </row>
    <row r="51" spans="1:4">
      <c r="A51" s="27">
        <f t="shared" si="1"/>
        <v>8.0000000000000071</v>
      </c>
      <c r="B51" s="27">
        <f t="shared" si="2"/>
        <v>20.000000000000014</v>
      </c>
      <c r="C51" s="27">
        <f t="shared" si="2"/>
        <v>16.000000000000014</v>
      </c>
      <c r="D51" s="27">
        <f t="shared" si="2"/>
        <v>400.00000000000068</v>
      </c>
    </row>
    <row r="52" spans="1:4">
      <c r="A52" s="27">
        <f t="shared" si="1"/>
        <v>8.4000000000000075</v>
      </c>
      <c r="B52" s="27">
        <f t="shared" si="2"/>
        <v>20.800000000000015</v>
      </c>
      <c r="C52" s="27">
        <f t="shared" si="2"/>
        <v>16.800000000000015</v>
      </c>
      <c r="D52" s="27">
        <f t="shared" si="2"/>
        <v>440.16000000000082</v>
      </c>
    </row>
    <row r="53" spans="1:4">
      <c r="A53" s="27">
        <f t="shared" si="1"/>
        <v>8.8000000000000078</v>
      </c>
      <c r="B53" s="27">
        <f t="shared" si="2"/>
        <v>21.600000000000016</v>
      </c>
      <c r="C53" s="27">
        <f t="shared" si="2"/>
        <v>17.600000000000016</v>
      </c>
      <c r="D53" s="27">
        <f t="shared" si="2"/>
        <v>482.24000000000086</v>
      </c>
    </row>
    <row r="54" spans="1:4">
      <c r="A54" s="27">
        <f t="shared" si="1"/>
        <v>9.2000000000000082</v>
      </c>
      <c r="B54" s="27">
        <f t="shared" si="2"/>
        <v>22.400000000000016</v>
      </c>
      <c r="C54" s="27">
        <f t="shared" si="2"/>
        <v>18.400000000000016</v>
      </c>
      <c r="D54" s="27">
        <f t="shared" si="2"/>
        <v>526.24000000000092</v>
      </c>
    </row>
    <row r="55" spans="1:4">
      <c r="A55" s="27">
        <f t="shared" si="1"/>
        <v>9.6000000000000085</v>
      </c>
      <c r="B55" s="27">
        <f t="shared" si="2"/>
        <v>23.200000000000017</v>
      </c>
      <c r="C55" s="27">
        <f t="shared" si="2"/>
        <v>19.200000000000017</v>
      </c>
      <c r="D55" s="27">
        <f t="shared" si="2"/>
        <v>572.16000000000099</v>
      </c>
    </row>
    <row r="56" spans="1:4">
      <c r="A56" s="27">
        <f t="shared" si="1"/>
        <v>10.000000000000009</v>
      </c>
      <c r="B56" s="27">
        <f t="shared" si="2"/>
        <v>24.000000000000018</v>
      </c>
      <c r="C56" s="27">
        <f t="shared" si="2"/>
        <v>20.000000000000018</v>
      </c>
      <c r="D56" s="27">
        <f t="shared" si="2"/>
        <v>620.00000000000102</v>
      </c>
    </row>
    <row r="57" spans="1:4">
      <c r="A57" s="28"/>
      <c r="B57" s="28"/>
      <c r="C57" s="28"/>
      <c r="D57" s="32"/>
    </row>
    <row r="58" spans="1:4">
      <c r="A58" s="28"/>
      <c r="B58" s="28"/>
      <c r="C58" s="28"/>
      <c r="D58" s="32"/>
    </row>
    <row r="59" spans="1:4">
      <c r="A59" s="28"/>
      <c r="B59" s="28"/>
      <c r="C59" s="28"/>
      <c r="D59" s="32"/>
    </row>
    <row r="60" spans="1:4">
      <c r="A60" s="28"/>
      <c r="B60" s="28"/>
      <c r="C60" s="28"/>
      <c r="D60" s="32"/>
    </row>
    <row r="61" spans="1:4">
      <c r="A61" s="28"/>
      <c r="B61" s="28"/>
      <c r="C61" s="28"/>
      <c r="D61" s="32"/>
    </row>
    <row r="62" spans="1:4">
      <c r="A62" s="28"/>
      <c r="B62" s="28"/>
      <c r="C62" s="28"/>
      <c r="D62" s="32"/>
    </row>
    <row r="63" spans="1:4">
      <c r="A63" s="28"/>
      <c r="B63" s="28"/>
      <c r="C63" s="28"/>
      <c r="D63" s="32"/>
    </row>
    <row r="64" spans="1:4">
      <c r="A64" s="28"/>
      <c r="B64" s="28"/>
      <c r="C64" s="28"/>
      <c r="D64" s="32"/>
    </row>
    <row r="65" spans="1:4">
      <c r="A65" s="28"/>
      <c r="B65" s="28"/>
      <c r="C65" s="28"/>
      <c r="D65" s="32"/>
    </row>
    <row r="66" spans="1:4">
      <c r="A66" s="28"/>
      <c r="B66" s="28"/>
      <c r="C66" s="28"/>
      <c r="D66" s="32"/>
    </row>
    <row r="67" spans="1:4">
      <c r="A67" s="28"/>
      <c r="B67" s="28"/>
      <c r="C67" s="28"/>
      <c r="D67" s="32"/>
    </row>
    <row r="68" spans="1:4">
      <c r="A68" s="28"/>
      <c r="B68" s="28"/>
      <c r="C68" s="28"/>
      <c r="D68" s="32"/>
    </row>
    <row r="69" spans="1:4">
      <c r="A69" s="28"/>
      <c r="B69" s="28"/>
      <c r="C69" s="28"/>
      <c r="D69" s="32"/>
    </row>
    <row r="70" spans="1:4">
      <c r="A70" s="28"/>
      <c r="B70" s="28"/>
      <c r="C70" s="28"/>
      <c r="D70" s="32"/>
    </row>
    <row r="71" spans="1:4">
      <c r="A71" s="28"/>
      <c r="B71" s="28"/>
      <c r="C71" s="28"/>
      <c r="D71" s="32"/>
    </row>
    <row r="72" spans="1:4">
      <c r="A72" s="28"/>
      <c r="B72" s="28"/>
      <c r="C72" s="28"/>
      <c r="D72" s="32"/>
    </row>
    <row r="73" spans="1:4">
      <c r="A73" s="28"/>
      <c r="B73" s="28"/>
      <c r="C73" s="28"/>
      <c r="D73" s="32"/>
    </row>
    <row r="74" spans="1:4">
      <c r="A74" s="28"/>
      <c r="B74" s="28"/>
      <c r="C74" s="28"/>
      <c r="D74" s="32"/>
    </row>
    <row r="75" spans="1:4">
      <c r="A75" s="28"/>
      <c r="B75" s="28"/>
      <c r="C75" s="28"/>
      <c r="D75" s="32"/>
    </row>
    <row r="76" spans="1:4">
      <c r="A76" s="28"/>
      <c r="B76" s="28"/>
      <c r="C76" s="28"/>
      <c r="D76" s="32"/>
    </row>
    <row r="77" spans="1:4">
      <c r="A77" s="28"/>
      <c r="B77" s="28"/>
      <c r="C77" s="28"/>
      <c r="D77" s="32"/>
    </row>
    <row r="78" spans="1:4">
      <c r="A78" s="28"/>
      <c r="B78" s="28"/>
      <c r="C78" s="28"/>
      <c r="D78" s="32"/>
    </row>
    <row r="79" spans="1:4">
      <c r="A79" s="28"/>
      <c r="B79" s="28"/>
      <c r="C79" s="28"/>
      <c r="D79" s="32"/>
    </row>
    <row r="80" spans="1:4">
      <c r="A80" s="28"/>
      <c r="B80" s="28"/>
      <c r="C80" s="28"/>
      <c r="D80" s="32"/>
    </row>
    <row r="81" spans="1:4">
      <c r="A81" s="28"/>
      <c r="B81" s="28"/>
      <c r="C81" s="28"/>
      <c r="D81" s="32"/>
    </row>
    <row r="82" spans="1:4">
      <c r="A82" s="28"/>
      <c r="B82" s="28"/>
      <c r="C82" s="28"/>
      <c r="D82" s="32"/>
    </row>
    <row r="83" spans="1:4">
      <c r="A83" s="28"/>
      <c r="B83" s="28"/>
      <c r="C83" s="28"/>
      <c r="D83" s="32"/>
    </row>
    <row r="84" spans="1:4">
      <c r="A84" s="28"/>
      <c r="B84" s="28"/>
      <c r="C84" s="28"/>
      <c r="D84" s="32"/>
    </row>
    <row r="85" spans="1:4">
      <c r="A85" s="28"/>
      <c r="B85" s="28"/>
      <c r="C85" s="28"/>
      <c r="D85" s="32"/>
    </row>
    <row r="86" spans="1:4">
      <c r="A86" s="28"/>
      <c r="B86" s="28"/>
      <c r="C86" s="28"/>
      <c r="D86" s="32"/>
    </row>
    <row r="87" spans="1:4">
      <c r="A87" s="28"/>
      <c r="B87" s="28"/>
      <c r="C87" s="28"/>
      <c r="D87" s="32"/>
    </row>
    <row r="88" spans="1:4">
      <c r="A88" s="28"/>
      <c r="B88" s="28"/>
      <c r="C88" s="28"/>
      <c r="D88" s="32"/>
    </row>
    <row r="89" spans="1:4">
      <c r="A89" s="28"/>
      <c r="B89" s="28"/>
      <c r="C89" s="28"/>
      <c r="D89" s="32"/>
    </row>
    <row r="90" spans="1:4">
      <c r="A90" s="28"/>
      <c r="B90" s="28"/>
      <c r="C90" s="28"/>
      <c r="D90" s="32"/>
    </row>
    <row r="91" spans="1:4">
      <c r="A91" s="28"/>
      <c r="B91" s="28"/>
      <c r="C91" s="28"/>
      <c r="D91" s="32"/>
    </row>
    <row r="92" spans="1:4">
      <c r="A92" s="28"/>
      <c r="B92" s="28"/>
      <c r="C92" s="28"/>
      <c r="D92" s="32"/>
    </row>
    <row r="93" spans="1:4">
      <c r="A93" s="28"/>
      <c r="B93" s="28"/>
      <c r="C93" s="28"/>
      <c r="D93" s="32"/>
    </row>
    <row r="94" spans="1:4">
      <c r="A94" s="28"/>
      <c r="B94" s="28"/>
      <c r="C94" s="28"/>
      <c r="D94" s="32"/>
    </row>
    <row r="95" spans="1:4">
      <c r="A95" s="28"/>
      <c r="B95" s="28"/>
      <c r="C95" s="28"/>
      <c r="D95" s="32"/>
    </row>
    <row r="96" spans="1:4">
      <c r="A96" s="28"/>
      <c r="B96" s="28"/>
      <c r="C96" s="28"/>
      <c r="D96" s="32"/>
    </row>
    <row r="97" spans="1:4">
      <c r="A97" s="28"/>
      <c r="B97" s="28"/>
      <c r="C97" s="28"/>
      <c r="D97" s="32"/>
    </row>
    <row r="98" spans="1:4">
      <c r="A98" s="28"/>
      <c r="B98" s="28"/>
      <c r="C98" s="28"/>
      <c r="D98" s="32"/>
    </row>
    <row r="99" spans="1:4">
      <c r="A99" s="28"/>
      <c r="B99" s="28"/>
      <c r="C99" s="28"/>
      <c r="D99" s="32"/>
    </row>
    <row r="100" spans="1:4">
      <c r="A100" s="28"/>
      <c r="B100" s="28"/>
      <c r="C100" s="28"/>
      <c r="D100" s="28"/>
    </row>
    <row r="101" spans="1:4">
      <c r="A101" s="28"/>
      <c r="B101" s="28"/>
      <c r="C101" s="28"/>
      <c r="D101" s="28"/>
    </row>
    <row r="102" spans="1:4">
      <c r="A102" s="28"/>
      <c r="B102" s="28"/>
      <c r="C102" s="28"/>
      <c r="D102" s="28"/>
    </row>
    <row r="103" spans="1:4">
      <c r="A103" s="28"/>
      <c r="B103" s="28"/>
      <c r="C103" s="28"/>
      <c r="D103" s="28"/>
    </row>
    <row r="104" spans="1:4">
      <c r="A104" s="28"/>
      <c r="B104" s="28"/>
      <c r="C104" s="28"/>
      <c r="D104" s="28"/>
    </row>
    <row r="105" spans="1:4">
      <c r="A105" s="28"/>
      <c r="B105" s="28"/>
      <c r="C105" s="28"/>
      <c r="D105" s="28"/>
    </row>
    <row r="106" spans="1:4">
      <c r="A106" s="28"/>
      <c r="B106" s="28"/>
      <c r="C106" s="28"/>
      <c r="D106" s="28"/>
    </row>
  </sheetData>
  <mergeCells count="1">
    <mergeCell ref="F1:H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GIZZI MANUEL</dc:creator>
  <cp:keywords/>
  <dc:description/>
  <cp:lastModifiedBy/>
  <cp:revision/>
  <dcterms:created xsi:type="dcterms:W3CDTF">2026-09-28T09:41:37Z</dcterms:created>
  <dcterms:modified xsi:type="dcterms:W3CDTF">2026-09-29T19:20:59Z</dcterms:modified>
  <cp:category/>
  <cp:contentStatus/>
</cp:coreProperties>
</file>